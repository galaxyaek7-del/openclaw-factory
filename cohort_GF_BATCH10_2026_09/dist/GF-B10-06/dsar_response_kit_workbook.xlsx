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_log" sheetId="1" state="visible" r:id="rId1"/>
    <sheet xmlns:r="http://schemas.openxmlformats.org/officeDocument/2006/relationships" name="verification_checklist" sheetId="2" state="visible" r:id="rId2"/>
    <sheet xmlns:r="http://schemas.openxmlformats.org/officeDocument/2006/relationships" name="source_registry" sheetId="3" state="visible" r:id="rId3"/>
    <sheet xmlns:r="http://schemas.openxmlformats.org/officeDocument/2006/relationships" name="deletion_runbook_tracker" sheetId="4" state="visible" r:id="rId4"/>
    <sheet xmlns:r="http://schemas.openxmlformats.org/officeDocument/2006/relationships" name="sla_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Request ref (illustrative)</t>
        </is>
      </c>
      <c r="B1" s="1" t="inlineStr">
        <is>
          <t>Date received</t>
        </is>
      </c>
      <c r="C1" s="1" t="inlineStr">
        <is>
          <t>Request type (access/deletion)</t>
        </is>
      </c>
      <c r="D1" s="1" t="inlineStr">
        <is>
          <t>Requester contact</t>
        </is>
      </c>
      <c r="E1" s="1" t="inlineStr">
        <is>
          <t>Identity verified (yes/no)</t>
        </is>
      </c>
      <c r="F1" s="1" t="inlineStr">
        <is>
          <t>Scope agreed date</t>
        </is>
      </c>
      <c r="G1" s="1" t="inlineStr">
        <is>
          <t>Statutory deadline (computed)</t>
        </is>
      </c>
      <c r="H1" s="1" t="inlineStr">
        <is>
          <t>Internal SLA date (computed)</t>
        </is>
      </c>
      <c r="I1" s="1" t="inlineStr">
        <is>
          <t>Stage</t>
        </is>
      </c>
      <c r="J1" s="1" t="inlineStr">
        <is>
          <t>Days remaining (computed)</t>
        </is>
      </c>
      <c r="K1" s="1" t="inlineStr">
        <is>
          <t>Status</t>
        </is>
      </c>
    </row>
    <row r="2">
      <c r="A2" t="inlineStr">
        <is>
          <t>DSAR-ILL-01</t>
        </is>
      </c>
      <c r="B2" t="inlineStr">
        <is>
          <t>2026-03-02</t>
        </is>
      </c>
      <c r="C2" t="inlineStr">
        <is>
          <t>access</t>
        </is>
      </c>
      <c r="D2" t="inlineStr">
        <is>
          <t>requester email on file</t>
        </is>
      </c>
      <c r="E2" t="inlineStr">
        <is>
          <t>yes</t>
        </is>
      </c>
      <c r="F2" t="inlineStr">
        <is>
          <t>2026-03-05</t>
        </is>
      </c>
      <c r="G2">
        <f>WORKDAY(B2,30)</f>
        <v/>
      </c>
      <c r="H2">
        <f>WORKDAY(B2,23)</f>
        <v/>
      </c>
      <c r="I2" t="inlineStr">
        <is>
          <t>Scoped</t>
        </is>
      </c>
      <c r="J2">
        <f>NETWORKDAYS(TODAY(),G2)</f>
        <v/>
      </c>
      <c r="K2" t="inlineStr">
        <is>
          <t>Open</t>
        </is>
      </c>
    </row>
    <row r="3">
      <c r="A3" t="inlineStr">
        <is>
          <t>DSAR-ILL-02</t>
        </is>
      </c>
      <c r="B3" t="inlineStr">
        <is>
          <t>2026-03-04</t>
        </is>
      </c>
      <c r="C3" t="inlineStr">
        <is>
          <t>deletion</t>
        </is>
      </c>
      <c r="D3" t="inlineStr">
        <is>
          <t>requester email on file</t>
        </is>
      </c>
      <c r="E3" t="inlineStr">
        <is>
          <t>no</t>
        </is>
      </c>
      <c r="F3" t="inlineStr"/>
      <c r="G3">
        <f>WORKDAY(B3,30)</f>
        <v/>
      </c>
      <c r="H3">
        <f>WORKDAY(B3,23)</f>
        <v/>
      </c>
      <c r="I3" t="inlineStr">
        <is>
          <t>Received</t>
        </is>
      </c>
      <c r="J3">
        <f>NETWORKDAYS(TODAY(),G3)</f>
        <v/>
      </c>
      <c r="K3" t="inlineStr">
        <is>
          <t>Awaiting identity</t>
        </is>
      </c>
    </row>
    <row r="5">
      <c r="A5" t="inlineStr">
        <is>
          <t>Notes: Statutory deadline uses 30 business-day computation as a working proxy; verify obligations with qualified counsel since the brief cites 30 days GDPR and 45 days several US states. Internal SLA uses 23 business days. All refs and dates are illustrative.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Request ref (illustrative)</t>
        </is>
      </c>
      <c r="B1" s="1" t="inlineStr">
        <is>
          <t>Check item</t>
        </is>
      </c>
      <c r="C1" s="1" t="inlineStr">
        <is>
          <t>Evidence seen</t>
        </is>
      </c>
      <c r="D1" s="1" t="inlineStr">
        <is>
          <t>Verified by</t>
        </is>
      </c>
      <c r="E1" s="1" t="inlineStr">
        <is>
          <t>Date</t>
        </is>
      </c>
      <c r="F1" s="1" t="inlineStr">
        <is>
          <t>Result</t>
        </is>
      </c>
    </row>
    <row r="2">
      <c r="A2" t="inlineStr">
        <is>
          <t>DSAR-ILL-01</t>
        </is>
      </c>
      <c r="B2" t="inlineStr">
        <is>
          <t>Illustrative: government ID matched to account name</t>
        </is>
      </c>
      <c r="C2" t="inlineStr">
        <is>
          <t>ID reference noted, not stored</t>
        </is>
      </c>
      <c r="D2" t="inlineStr">
        <is>
          <t>Support lead</t>
        </is>
      </c>
      <c r="E2" t="inlineStr">
        <is>
          <t>2026-03-03</t>
        </is>
      </c>
      <c r="F2" t="inlineStr">
        <is>
          <t>Pass</t>
        </is>
      </c>
    </row>
    <row r="3">
      <c r="A3" t="inlineStr">
        <is>
          <t>DSAR-ILL-01</t>
        </is>
      </c>
      <c r="B3" t="inlineStr">
        <is>
          <t>Illustrative: account email ownership confirmed</t>
        </is>
      </c>
      <c r="C3" t="inlineStr">
        <is>
          <t>Verification link confirmed</t>
        </is>
      </c>
      <c r="D3" t="inlineStr">
        <is>
          <t>Support lead</t>
        </is>
      </c>
      <c r="E3" t="inlineStr">
        <is>
          <t>2026-03-03</t>
        </is>
      </c>
      <c r="F3" t="inlineStr">
        <is>
          <t>Pass</t>
        </is>
      </c>
    </row>
    <row r="5">
      <c r="A5" t="inlineStr">
        <is>
          <t>Notes: Do not advance to Scoped until identity checks pass. Minimize copies of identity documents.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Source name (illustrative)</t>
        </is>
      </c>
      <c r="B1" s="1" t="inlineStr">
        <is>
          <t>Owner</t>
        </is>
      </c>
      <c r="C1" s="1" t="inlineStr">
        <is>
          <t>Data categories held</t>
        </is>
      </c>
      <c r="D1" s="1" t="inlineStr">
        <is>
          <t>Retention basis</t>
        </is>
      </c>
      <c r="E1" s="1" t="inlineStr">
        <is>
          <t>Deletion method</t>
        </is>
      </c>
      <c r="F1" s="1" t="inlineStr">
        <is>
          <t>Last reviewed</t>
        </is>
      </c>
    </row>
    <row r="2">
      <c r="A2" t="inlineStr">
        <is>
          <t>ILL-DB-main</t>
        </is>
      </c>
      <c r="B2" t="inlineStr">
        <is>
          <t>Engineering</t>
        </is>
      </c>
      <c r="C2" t="inlineStr">
        <is>
          <t>Illustrative: account profile fields</t>
        </is>
      </c>
      <c r="D2" t="inlineStr">
        <is>
          <t>Contract performance</t>
        </is>
      </c>
      <c r="E2" t="inlineStr">
        <is>
          <t>Soft delete then purge per runbook</t>
        </is>
      </c>
      <c r="F2" t="inlineStr">
        <is>
          <t>2026-02-20</t>
        </is>
      </c>
    </row>
    <row r="3">
      <c r="A3" t="inlineStr">
        <is>
          <t>ILL-support-desk</t>
        </is>
      </c>
      <c r="B3" t="inlineStr">
        <is>
          <t>Support</t>
        </is>
      </c>
      <c r="C3" t="inlineStr">
        <is>
          <t>Illustrative: ticket history</t>
        </is>
      </c>
      <c r="D3" t="inlineStr">
        <is>
          <t>Legitimate interest per counsel advice</t>
        </is>
      </c>
      <c r="E3" t="inlineStr">
        <is>
          <t>Ticket anonymization</t>
        </is>
      </c>
      <c r="F3" t="inlineStr">
        <is>
          <t>2026-02-20</t>
        </is>
      </c>
    </row>
    <row r="5">
      <c r="A5" t="inlineStr">
        <is>
          <t>Notes: One row per system that may hold requester data. Review when systems change.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Request ref (illustrative)</t>
        </is>
      </c>
      <c r="B1" s="1" t="inlineStr">
        <is>
          <t>Source</t>
        </is>
      </c>
      <c r="C1" s="1" t="inlineStr">
        <is>
          <t>Action required</t>
        </is>
      </c>
      <c r="D1" s="1" t="inlineStr">
        <is>
          <t>Assigned to</t>
        </is>
      </c>
      <c r="E1" s="1" t="inlineStr">
        <is>
          <t>Due date (illustrative)</t>
        </is>
      </c>
      <c r="F1" s="1" t="inlineStr">
        <is>
          <t>Evidence of completion</t>
        </is>
      </c>
      <c r="G1" s="1" t="inlineStr">
        <is>
          <t>Done</t>
        </is>
      </c>
    </row>
    <row r="2">
      <c r="A2" t="inlineStr">
        <is>
          <t>DSAR-ILL-02</t>
        </is>
      </c>
      <c r="B2" t="inlineStr">
        <is>
          <t>ILL-DB-main</t>
        </is>
      </c>
      <c r="C2" t="inlineStr">
        <is>
          <t>Illustrative: delete profile row</t>
        </is>
      </c>
      <c r="D2" t="inlineStr">
        <is>
          <t>Engineer on duty</t>
        </is>
      </c>
      <c r="E2" t="inlineStr">
        <is>
          <t>2026-03-20</t>
        </is>
      </c>
      <c r="F2" t="inlineStr">
        <is>
          <t>Ticket number noted</t>
        </is>
      </c>
      <c r="G2" t="inlineStr">
        <is>
          <t>No</t>
        </is>
      </c>
    </row>
    <row r="3">
      <c r="A3" t="inlineStr">
        <is>
          <t>DSAR-ILL-02</t>
        </is>
      </c>
      <c r="B3" t="inlineStr">
        <is>
          <t>ILL-backups</t>
        </is>
      </c>
      <c r="C3" t="inlineStr">
        <is>
          <t>Illustrative: confirm expiry on rotation</t>
        </is>
      </c>
      <c r="D3" t="inlineStr">
        <is>
          <t>Engineer on duty</t>
        </is>
      </c>
      <c r="E3" t="inlineStr">
        <is>
          <t>2026-03-22</t>
        </is>
      </c>
      <c r="F3" t="inlineStr">
        <is>
          <t>Backup log noted</t>
        </is>
      </c>
      <c r="G3" t="inlineStr">
        <is>
          <t>No</t>
        </is>
      </c>
    </row>
    <row r="5">
      <c r="A5" t="inlineStr">
        <is>
          <t>Notes: Track per-source deletion steps. Backups and logs need special handling per runbook.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 (computed)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Open requests</t>
        </is>
      </c>
      <c r="B2">
        <f>COUNTIF(request_log!K2:K100,"Open")</f>
        <v/>
      </c>
      <c r="C2" t="inlineStr">
        <is>
          <t>Count of rows with Status Open</t>
        </is>
      </c>
    </row>
    <row r="3">
      <c r="A3" t="inlineStr">
        <is>
          <t>Due within 5 business days (illustrative threshold)</t>
        </is>
      </c>
      <c r="B3">
        <f>COUNTIFS(request_log!K2:K100,"Open",request_log!J2:J100,"&lt;=5")</f>
        <v/>
      </c>
      <c r="C3" t="inlineStr">
        <is>
          <t>Uses Days remaining column</t>
        </is>
      </c>
    </row>
    <row r="4">
      <c r="A4" t="inlineStr">
        <is>
          <t>Overdue (past statutory deadline proxy)</t>
        </is>
      </c>
      <c r="B4">
        <f>COUNTIFS(request_log!K2:K100,"Open",request_log!J2:J100,"&lt;0")</f>
        <v/>
      </c>
      <c r="C4" t="inlineStr">
        <is>
          <t>Requires immediate review with counsel</t>
        </is>
      </c>
    </row>
    <row r="6">
      <c r="A6" t="inlineStr">
        <is>
          <t>Notes: Dashboard counts read from request_log. Thresholds are illustrative working aids, not legal determinations.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2026-09-27T18:18:11Z</dcterms:created>
  <dcterms:modified xmlns:dcterms="http://purl.org/dc/terms/" xmlns:xsi="http://www.w3.org/2001/XMLSchema-instance" xsi:type="dcterms:W3CDTF">2026-09-27T18:18:11Z</dcterms:modified>
</cp:coreProperties>
</file>