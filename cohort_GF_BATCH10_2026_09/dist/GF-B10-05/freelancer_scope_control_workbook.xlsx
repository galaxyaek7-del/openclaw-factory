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_register" sheetId="1" state="visible" r:id="rId1"/>
    <sheet xmlns:r="http://schemas.openxmlformats.org/officeDocument/2006/relationships" name="milestone_map" sheetId="2" state="visible" r:id="rId2"/>
    <sheet xmlns:r="http://schemas.openxmlformats.org/officeDocument/2006/relationships" name="change_order_log" sheetId="3" state="visible" r:id="rId3"/>
    <sheet xmlns:r="http://schemas.openxmlformats.org/officeDocument/2006/relationships" name="revision_counter" sheetId="4" state="visible" r:id="rId4"/>
    <sheet xmlns:r="http://schemas.openxmlformats.org/officeDocument/2006/relationships" name="rate_c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Request ID (illustrative)</t>
        </is>
      </c>
      <c r="B1" s="1" t="inlineStr">
        <is>
          <t>Date received</t>
        </is>
      </c>
      <c r="C1" s="1" t="inlineStr">
        <is>
          <t>Request description</t>
        </is>
      </c>
      <c r="D1" s="1" t="inlineStr">
        <is>
          <t>In-scope / Out-of-scope</t>
        </is>
      </c>
      <c r="E1" s="1" t="inlineStr">
        <is>
          <t>Related deliverable (D-number)</t>
        </is>
      </c>
      <c r="F1" s="1" t="inlineStr">
        <is>
          <t>Action taken</t>
        </is>
      </c>
      <c r="G1" s="1" t="inlineStr">
        <is>
          <t>Change order ref</t>
        </is>
      </c>
      <c r="H1" s="1" t="inlineStr">
        <is>
          <t>Minutes spent</t>
        </is>
      </c>
      <c r="I1" s="1" t="inlineStr">
        <is>
          <t>Billed amount</t>
        </is>
      </c>
    </row>
    <row r="2">
      <c r="A2" t="inlineStr">
        <is>
          <t>ILL-001</t>
        </is>
      </c>
      <c r="B2" t="inlineStr">
        <is>
          <t>2026-02-03</t>
        </is>
      </c>
      <c r="C2" t="inlineStr">
        <is>
          <t>Illustrative: extra homepage banner variant</t>
        </is>
      </c>
      <c r="D2" t="inlineStr">
        <is>
          <t>Out-of-scope</t>
        </is>
      </c>
      <c r="E2" t="inlineStr">
        <is>
          <t>D2</t>
        </is>
      </c>
      <c r="F2" t="inlineStr">
        <is>
          <t>Change order sent</t>
        </is>
      </c>
      <c r="G2" t="inlineStr">
        <is>
          <t>CO-ILL-01</t>
        </is>
      </c>
      <c r="H2" t="n">
        <v>20</v>
      </c>
      <c r="I2">
        <f>IF(D2="Out-of-scope",H2/60*VLOOKUP("standard",RateCard!A:B,2,FALSE),0)</f>
        <v/>
      </c>
    </row>
    <row r="3">
      <c r="A3" t="inlineStr">
        <is>
          <t>ILL-002</t>
        </is>
      </c>
      <c r="B3" t="inlineStr">
        <is>
          <t>2026-02-05</t>
        </is>
      </c>
      <c r="C3" t="inlineStr">
        <is>
          <t>Illustrative: small text correction within criteria</t>
        </is>
      </c>
      <c r="D3" t="inlineStr">
        <is>
          <t>In-scope</t>
        </is>
      </c>
      <c r="E3" t="inlineStr">
        <is>
          <t>D1</t>
        </is>
      </c>
      <c r="F3" t="inlineStr">
        <is>
          <t>Courtesy applied and logged</t>
        </is>
      </c>
      <c r="G3" t="inlineStr"/>
      <c r="H3" t="n">
        <v>10</v>
      </c>
      <c r="I3">
        <f>IF(D3="Out-of-scope",H3/60*VLOOKUP("standard",RateCard!A:B,2,FALSE),0)</f>
        <v/>
      </c>
    </row>
    <row r="5">
      <c r="A5" t="inlineStr">
        <is>
          <t>Notes: Log every client request the same day. Use In-scope only when the item fits written acceptance criteria. All IDs and rows are illustrative.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Milestone code (illustrative)</t>
        </is>
      </c>
      <c r="B1" s="1" t="inlineStr">
        <is>
          <t>Milestone name</t>
        </is>
      </c>
      <c r="C1" s="1" t="inlineStr">
        <is>
          <t>Linked deliverables</t>
        </is>
      </c>
      <c r="D1" s="1" t="inlineStr">
        <is>
          <t>Due date</t>
        </is>
      </c>
      <c r="E1" s="1" t="inlineStr">
        <is>
          <t>Payment tied to milestone</t>
        </is>
      </c>
      <c r="F1" s="1" t="inlineStr">
        <is>
          <t>Entry criteria</t>
        </is>
      </c>
      <c r="G1" s="1" t="inlineStr">
        <is>
          <t>Exit criteria</t>
        </is>
      </c>
      <c r="H1" s="1" t="inlineStr">
        <is>
          <t>Status</t>
        </is>
      </c>
    </row>
    <row r="2">
      <c r="A2" t="inlineStr">
        <is>
          <t>M1-ILL</t>
        </is>
      </c>
      <c r="B2" t="inlineStr">
        <is>
          <t>Illustrative: kickoff and brief lock</t>
        </is>
      </c>
      <c r="C2" t="inlineStr">
        <is>
          <t>D1</t>
        </is>
      </c>
      <c r="D2" t="inlineStr">
        <is>
          <t>2026-02-10</t>
        </is>
      </c>
      <c r="E2" t="n">
        <v>0</v>
      </c>
      <c r="F2" t="inlineStr">
        <is>
          <t>Brief signed</t>
        </is>
      </c>
      <c r="G2" t="inlineStr">
        <is>
          <t>Acceptance criteria recorded</t>
        </is>
      </c>
      <c r="H2" t="inlineStr">
        <is>
          <t>Done</t>
        </is>
      </c>
    </row>
    <row r="3">
      <c r="A3" t="inlineStr">
        <is>
          <t>M2-ILL</t>
        </is>
      </c>
      <c r="B3" t="inlineStr">
        <is>
          <t>Illustrative: draft delivery</t>
        </is>
      </c>
      <c r="C3" t="inlineStr">
        <is>
          <t>D1,D2</t>
        </is>
      </c>
      <c r="D3" t="inlineStr">
        <is>
          <t>2026-02-17</t>
        </is>
      </c>
      <c r="E3" t="n">
        <v>0</v>
      </c>
      <c r="F3" t="inlineStr">
        <is>
          <t>Client content received</t>
        </is>
      </c>
      <c r="G3" t="inlineStr">
        <is>
          <t>Drafts delivered</t>
        </is>
      </c>
      <c r="H3" t="inlineStr">
        <is>
          <t>In progress</t>
        </is>
      </c>
    </row>
    <row r="5">
      <c r="A5" t="inlineStr">
        <is>
          <t>Notes: Each milestone maps to one or more numbered deliverables. No milestone is marked complete until its deliverables meet acceptance criteria.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Change order ref (illustrative)</t>
        </is>
      </c>
      <c r="B1" s="1" t="inlineStr">
        <is>
          <t>Date submitted</t>
        </is>
      </c>
      <c r="C1" s="1" t="inlineStr">
        <is>
          <t>Related deliverable</t>
        </is>
      </c>
      <c r="D1" s="1" t="inlineStr">
        <is>
          <t>Description</t>
        </is>
      </c>
      <c r="E1" s="1" t="inlineStr">
        <is>
          <t>Fee</t>
        </is>
      </c>
      <c r="F1" s="1" t="inlineStr">
        <is>
          <t>Schedule impact (days, illustrative)</t>
        </is>
      </c>
      <c r="G1" s="1" t="inlineStr">
        <is>
          <t>Status</t>
        </is>
      </c>
      <c r="H1" s="1" t="inlineStr">
        <is>
          <t>Date approved</t>
        </is>
      </c>
      <c r="I1" s="1" t="inlineStr">
        <is>
          <t>Billed amount</t>
        </is>
      </c>
    </row>
    <row r="2">
      <c r="A2" t="inlineStr">
        <is>
          <t>CO-ILL-01</t>
        </is>
      </c>
      <c r="B2" t="inlineStr">
        <is>
          <t>2026-02-06</t>
        </is>
      </c>
      <c r="C2" t="inlineStr">
        <is>
          <t>D2</t>
        </is>
      </c>
      <c r="D2" t="inlineStr">
        <is>
          <t>Illustrative: additional banner variant</t>
        </is>
      </c>
      <c r="E2" t="n">
        <v>120</v>
      </c>
      <c r="F2" t="n">
        <v>2</v>
      </c>
      <c r="G2" t="inlineStr">
        <is>
          <t>Approved</t>
        </is>
      </c>
      <c r="H2" t="inlineStr">
        <is>
          <t>2026-02-07</t>
        </is>
      </c>
      <c r="I2">
        <f>IF(H2&lt;&gt;"",E2,0)</f>
        <v/>
      </c>
    </row>
    <row r="3">
      <c r="A3" t="inlineStr">
        <is>
          <t>CO-ILL-02</t>
        </is>
      </c>
      <c r="B3" t="inlineStr">
        <is>
          <t>2026-02-09</t>
        </is>
      </c>
      <c r="C3" t="inlineStr">
        <is>
          <t>D3</t>
        </is>
      </c>
      <c r="D3" t="inlineStr">
        <is>
          <t>Illustrative: added format export</t>
        </is>
      </c>
      <c r="E3" t="n">
        <v>80</v>
      </c>
      <c r="F3" t="n">
        <v>1</v>
      </c>
      <c r="G3" t="inlineStr">
        <is>
          <t>Pending</t>
        </is>
      </c>
      <c r="H3" t="inlineStr"/>
      <c r="I3">
        <f>IF(H3&lt;&gt;"",E3,0)</f>
        <v/>
      </c>
    </row>
    <row r="4">
      <c r="I4">
        <f>SUM(I2:I50)</f>
        <v/>
      </c>
    </row>
    <row r="6">
      <c r="A6" t="inlineStr">
        <is>
          <t>Notes: Billed amount counts only when Date approved is filled. Total row at I4 sums billed amounts. All refs and amounts are illustrative.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Deliverable (D-number)</t>
        </is>
      </c>
      <c r="B1" s="1" t="inlineStr">
        <is>
          <t>Rounds included (illustrative)</t>
        </is>
      </c>
      <c r="C1" s="1" t="inlineStr">
        <is>
          <t>Round 1 date</t>
        </is>
      </c>
      <c r="D1" s="1" t="inlineStr">
        <is>
          <t>Round 2 date (illustrative)</t>
        </is>
      </c>
      <c r="E1" s="1" t="inlineStr">
        <is>
          <t>Extra rounds used</t>
        </is>
      </c>
      <c r="F1" s="1" t="inlineStr">
        <is>
          <t>Overage rate per round (illustrative)</t>
        </is>
      </c>
      <c r="G1" s="1" t="inlineStr">
        <is>
          <t>Extra billed</t>
        </is>
      </c>
    </row>
    <row r="2">
      <c r="A2" t="inlineStr">
        <is>
          <t>D1</t>
        </is>
      </c>
      <c r="B2" t="n">
        <v>2</v>
      </c>
      <c r="C2" t="inlineStr">
        <is>
          <t>2026-02-12</t>
        </is>
      </c>
      <c r="D2" t="inlineStr">
        <is>
          <t>2026-02-14</t>
        </is>
      </c>
      <c r="E2" t="n">
        <v>0</v>
      </c>
      <c r="F2" t="n">
        <v>60</v>
      </c>
      <c r="G2">
        <f>E2*F2</f>
        <v/>
      </c>
    </row>
    <row r="3">
      <c r="A3" t="inlineStr">
        <is>
          <t>D2</t>
        </is>
      </c>
      <c r="B3" t="n">
        <v>2</v>
      </c>
      <c r="C3" t="inlineStr">
        <is>
          <t>2026-02-15</t>
        </is>
      </c>
      <c r="D3" t="inlineStr"/>
      <c r="E3" t="n">
        <v>1</v>
      </c>
      <c r="F3" t="n">
        <v>60</v>
      </c>
      <c r="G3">
        <f>E3*F3</f>
        <v/>
      </c>
    </row>
    <row r="4">
      <c r="G4">
        <f>SUM(G2:G50)</f>
        <v/>
      </c>
    </row>
    <row r="6">
      <c r="A6" t="inlineStr">
        <is>
          <t>Notes: One row per deliverable. Extra billed equals extra rounds times overage rate. All counts and rates are illustrative.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Service code</t>
        </is>
      </c>
      <c r="B1" s="1" t="inlineStr">
        <is>
          <t>Service description</t>
        </is>
      </c>
      <c r="C1" s="1" t="inlineStr">
        <is>
          <t>Unit</t>
        </is>
      </c>
      <c r="D1" s="1" t="inlineStr">
        <is>
          <t>Rate (illustrative)</t>
        </is>
      </c>
      <c r="E1" s="1" t="inlineStr">
        <is>
          <t>Notes</t>
        </is>
      </c>
    </row>
    <row r="2">
      <c r="A2" t="inlineStr">
        <is>
          <t>standard</t>
        </is>
      </c>
      <c r="B2" t="inlineStr">
        <is>
          <t>Illustrative: general design revision work</t>
        </is>
      </c>
      <c r="C2" t="inlineStr">
        <is>
          <t>per hour</t>
        </is>
      </c>
      <c r="D2" t="n">
        <v>60</v>
      </c>
      <c r="E2" t="inlineStr">
        <is>
          <t>Used by scope register lookup</t>
        </is>
      </c>
    </row>
    <row r="3">
      <c r="A3" t="inlineStr">
        <is>
          <t>rush</t>
        </is>
      </c>
      <c r="B3" t="inlineStr">
        <is>
          <t>Illustrative: expedited delivery</t>
        </is>
      </c>
      <c r="C3" t="inlineStr">
        <is>
          <t>per hour</t>
        </is>
      </c>
      <c r="D3" t="n">
        <v>90</v>
      </c>
      <c r="E3" t="inlineStr">
        <is>
          <t>Applies only when rush agreed in writing</t>
        </is>
      </c>
    </row>
    <row r="5">
      <c r="A5" t="inlineStr">
        <is>
          <t>Notes: Fill with real rates before use. Example rates are illustrative and must be replaced.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2026-09-27T18:18:10Z</dcterms:created>
  <dcterms:modified xmlns:dcterms="http://purl.org/dc/terms/" xmlns:xsi="http://www.w3.org/2001/XMLSchema-instance" xsi:type="dcterms:W3CDTF">2026-09-27T18:18:10Z</dcterms:modified>
</cp:coreProperties>
</file>