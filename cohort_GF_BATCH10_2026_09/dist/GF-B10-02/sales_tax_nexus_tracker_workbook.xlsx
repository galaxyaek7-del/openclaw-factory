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Threshold Register" sheetId="1" state="visible" r:id="rId1"/>
    <sheet xmlns:r="http://schemas.openxmlformats.org/officeDocument/2006/relationships" name="Monthly Sales by State" sheetId="2" state="visible" r:id="rId2"/>
    <sheet xmlns:r="http://schemas.openxmlformats.org/officeDocument/2006/relationships" name="Registration Checklist" sheetId="3" state="visible" r:id="rId3"/>
    <sheet xmlns:r="http://schemas.openxmlformats.org/officeDocument/2006/relationships" name="Filing 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State</t>
        </is>
      </c>
      <c r="B1" s="1" t="inlineStr">
        <is>
          <t>Rolling-12mo sales (from log)</t>
        </is>
      </c>
      <c r="C1" s="1" t="inlineStr">
        <is>
          <t>Threshold description (per state source)</t>
        </is>
      </c>
      <c r="D1" s="1" t="inlineStr">
        <is>
          <t>Measurement period (per state source)</t>
        </is>
      </c>
      <c r="E1" s="1" t="inlineStr">
        <is>
          <t>Last verified date</t>
        </is>
      </c>
      <c r="F1" s="1" t="inlineStr">
        <is>
          <t>Verification source (state revenue dept + CPA)</t>
        </is>
      </c>
      <c r="G1" s="1" t="inlineStr">
        <is>
          <t>Next re-verify date</t>
        </is>
      </c>
      <c r="H1" s="1" t="inlineStr">
        <is>
          <t>Days since verified</t>
        </is>
      </c>
      <c r="I1" s="1" t="inlineStr">
        <is>
          <t>Status (verified/pending/stale)</t>
        </is>
      </c>
    </row>
    <row r="2">
      <c r="A2" t="inlineStr">
        <is>
          <t>Example State A (illustrative)</t>
        </is>
      </c>
      <c r="B2" t="n">
        <v>84200</v>
      </c>
      <c r="C2" t="inlineStr">
        <is>
          <t>Verify current threshold with the state revenue department (illustrative placeholder, not a fact).</t>
        </is>
      </c>
      <c r="D2" t="inlineStr">
        <is>
          <t>Verify window with state source (illustrative).</t>
        </is>
      </c>
      <c r="E2" t="inlineStr">
        <is>
          <t>2026-09-01</t>
        </is>
      </c>
      <c r="F2" t="inlineStr">
        <is>
          <t>State revenue dept guidance + CPA confirmation Sep 2026 (illustrative).</t>
        </is>
      </c>
      <c r="G2" t="inlineStr">
        <is>
          <t>2026-12-01</t>
        </is>
      </c>
      <c r="H2" t="n">
        <v>9</v>
      </c>
      <c r="I2" t="inlineStr">
        <is>
          <t>verified</t>
        </is>
      </c>
    </row>
    <row r="3">
      <c r="A3" t="inlineStr">
        <is>
          <t>Example State B (illustrative)</t>
        </is>
      </c>
      <c r="B3" t="n">
        <v>12100</v>
      </c>
      <c r="C3" t="inlineStr">
        <is>
          <t>Pending verification - do not rely.</t>
        </is>
      </c>
      <c r="D3" t="inlineStr"/>
      <c r="E3" t="inlineStr"/>
      <c r="F3" t="inlineStr"/>
      <c r="G3" t="inlineStr">
        <is>
          <t>2026-10-01</t>
        </is>
      </c>
      <c r="H3">
        <f>IF(E2="","",TODAY()-E2)</f>
        <v/>
      </c>
      <c r="I3">
        <f>IF(E2="","pending",IF(H3&gt;90,"stale","verified"))</f>
        <v/>
      </c>
    </row>
    <row r="4">
      <c r="H4">
        <f>IF(E3="","",TODAY()-E3)</f>
        <v/>
      </c>
    </row>
    <row r="5">
      <c r="B5">
        <f>SUM(B2:B3)</f>
        <v/>
      </c>
    </row>
    <row r="7">
      <c r="A7" t="inlineStr">
        <is>
          <t>Notes: Index of verification work only. States no threshold as current fact. Background only: many states use $100,000 sales as one part of their test, rules vary, several states dropped transaction tests 2024-2026. Verify current threshold with the state revenue department every cycle. Example rows illustrative.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Month</t>
        </is>
      </c>
      <c r="B1" s="1" t="inlineStr">
        <is>
          <t>Export date filed</t>
        </is>
      </c>
      <c r="C1" s="1" t="inlineStr">
        <is>
          <t>State A owned (illustrative)</t>
        </is>
      </c>
      <c r="D1" s="1" t="inlineStr">
        <is>
          <t>State A marketplace (illustrative)</t>
        </is>
      </c>
      <c r="E1" s="1" t="inlineStr">
        <is>
          <t>State B owned (illustrative)</t>
        </is>
      </c>
      <c r="F1" s="1" t="inlineStr">
        <is>
          <t>State B marketplace (illustrative)</t>
        </is>
      </c>
      <c r="G1" s="1" t="inlineStr">
        <is>
          <t>State A rolling 12mo</t>
        </is>
      </c>
      <c r="H1" s="1" t="inlineStr">
        <is>
          <t>State B rolling 12mo</t>
        </is>
      </c>
      <c r="I1" s="1" t="inlineStr">
        <is>
          <t>Notes</t>
        </is>
      </c>
    </row>
    <row r="2">
      <c r="A2" t="inlineStr">
        <is>
          <t>2026-07</t>
        </is>
      </c>
      <c r="B2" t="inlineStr">
        <is>
          <t>2026-08-02</t>
        </is>
      </c>
      <c r="C2" t="n">
        <v>7000</v>
      </c>
      <c r="D2" t="n">
        <v>2000</v>
      </c>
      <c r="E2" t="n">
        <v>900</v>
      </c>
      <c r="F2" t="n">
        <v>400</v>
      </c>
      <c r="G2" t="n">
        <v>84000</v>
      </c>
      <c r="H2" t="n">
        <v>11800</v>
      </c>
      <c r="I2" t="inlineStr">
        <is>
          <t>Illustrative figures only.</t>
        </is>
      </c>
    </row>
    <row r="3">
      <c r="A3" t="inlineStr">
        <is>
          <t>2026-08</t>
        </is>
      </c>
      <c r="B3" t="inlineStr">
        <is>
          <t>2026-09-02</t>
        </is>
      </c>
      <c r="C3" t="n">
        <v>7200</v>
      </c>
      <c r="D3" t="n">
        <v>2100</v>
      </c>
      <c r="E3" t="n">
        <v>950</v>
      </c>
      <c r="F3" t="n">
        <v>350</v>
      </c>
      <c r="G3" t="n">
        <v>84200</v>
      </c>
      <c r="H3" t="n">
        <v>12100</v>
      </c>
      <c r="I3" t="inlineStr">
        <is>
          <t>Illustrative figures only.</t>
        </is>
      </c>
    </row>
    <row r="4">
      <c r="A4" t="inlineStr">
        <is>
          <t>2026-09</t>
        </is>
      </c>
      <c r="B4" t="inlineStr">
        <is>
          <t>2026-10-02</t>
        </is>
      </c>
      <c r="C4" t="n">
        <v>6800</v>
      </c>
      <c r="D4" t="n">
        <v>1900</v>
      </c>
      <c r="E4" t="n">
        <v>1000</v>
      </c>
      <c r="F4" t="n">
        <v>300</v>
      </c>
      <c r="G4" t="n">
        <v>83900</v>
      </c>
      <c r="H4" t="n">
        <v>12300</v>
      </c>
      <c r="I4" t="inlineStr">
        <is>
          <t>Illustrative figures only.</t>
        </is>
      </c>
    </row>
    <row r="5">
      <c r="G5">
        <f>SUM(C2:C4)+SUM(D2:D4)</f>
        <v/>
      </c>
      <c r="H5">
        <f>SUM(E2:E4)+SUM(F2:F4)</f>
        <v/>
      </c>
    </row>
    <row r="6">
      <c r="C6">
        <f>COUNT(C2:C100)</f>
        <v/>
      </c>
      <c r="G6">
        <f>SUM(C2:C100)+SUM(D2:D100)</f>
        <v/>
      </c>
      <c r="H6">
        <f>SUM(E2:E100)+SUM(F2:F100)</f>
        <v/>
      </c>
    </row>
    <row r="8">
      <c r="A8" t="inlineStr">
        <is>
          <t>Notes: One row per closed month. Never overwrite closed months; post adjustments in the current month with a reference note. Rolling totals are monitoring signals, not tax determinations. Confirm channel mapping per state with CPA. Example rows illustrative.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State</t>
        </is>
      </c>
      <c r="B1" s="1" t="inlineStr">
        <is>
          <t>CPA confirmed (Y/N + date)</t>
        </is>
      </c>
      <c r="C1" s="1" t="inlineStr">
        <is>
          <t>Portal / form (per state source)</t>
        </is>
      </c>
      <c r="D1" s="1" t="inlineStr">
        <is>
          <t>Application submitted date</t>
        </is>
      </c>
      <c r="E1" s="1" t="inlineStr">
        <is>
          <t>Account ref stored securely (Y/N + date)</t>
        </is>
      </c>
      <c r="F1" s="1" t="inlineStr">
        <is>
          <t>Frequency assigned (per state)</t>
        </is>
      </c>
      <c r="G1" s="1" t="inlineStr">
        <is>
          <t>Calendar rows created (Y/N)</t>
        </is>
      </c>
      <c r="H1" s="1" t="inlineStr">
        <is>
          <t>Overall status (open/complete)</t>
        </is>
      </c>
      <c r="I1" s="1" t="inlineStr">
        <is>
          <t>Owner</t>
        </is>
      </c>
      <c r="J1" s="1" t="inlineStr">
        <is>
          <t>Note</t>
        </is>
      </c>
    </row>
    <row r="2">
      <c r="A2" t="inlineStr">
        <is>
          <t>Example State A (illustrative)</t>
        </is>
      </c>
      <c r="B2" t="inlineStr">
        <is>
          <t>Y 2026-09-05</t>
        </is>
      </c>
      <c r="C2" t="inlineStr">
        <is>
          <t>State portal per current instructions (illustrative).</t>
        </is>
      </c>
      <c r="D2" t="inlineStr">
        <is>
          <t>2026-09-12</t>
        </is>
      </c>
      <c r="E2" t="inlineStr">
        <is>
          <t>Y 2026-09-16</t>
        </is>
      </c>
      <c r="F2" t="inlineStr">
        <is>
          <t>Quarterly per state notice (illustrative).</t>
        </is>
      </c>
      <c r="G2" t="inlineStr">
        <is>
          <t>Y</t>
        </is>
      </c>
      <c r="H2" t="inlineStr">
        <is>
          <t>complete</t>
        </is>
      </c>
      <c r="I2" t="inlineStr">
        <is>
          <t>Ops Manager</t>
        </is>
      </c>
      <c r="J2" t="inlineStr">
        <is>
          <t>Illustrative: confirmation filed.</t>
        </is>
      </c>
    </row>
    <row r="3">
      <c r="A3" t="inlineStr">
        <is>
          <t>Example State B (illustrative)</t>
        </is>
      </c>
      <c r="B3" t="inlineStr">
        <is>
          <t>N</t>
        </is>
      </c>
      <c r="C3" t="inlineStr"/>
      <c r="D3" t="inlineStr"/>
      <c r="E3" t="inlineStr">
        <is>
          <t>N</t>
        </is>
      </c>
      <c r="F3" t="inlineStr"/>
      <c r="G3" t="inlineStr">
        <is>
          <t>N</t>
        </is>
      </c>
      <c r="H3" t="inlineStr">
        <is>
          <t>open</t>
        </is>
      </c>
      <c r="I3" t="inlineStr">
        <is>
          <t>Ops Manager</t>
        </is>
      </c>
      <c r="J3" t="inlineStr">
        <is>
          <t>Illustrative: awaiting CPA confirmation.</t>
        </is>
      </c>
    </row>
    <row r="5">
      <c r="G5">
        <f>COUNTIFS(H2:H100,"complete",G2:G100,"N")</f>
        <v/>
      </c>
      <c r="H5">
        <f>COUNTIF(H2:H100,"open")</f>
        <v/>
      </c>
    </row>
    <row r="6">
      <c r="H6">
        <f>COUNTIF(H2:H100,"complete")</f>
        <v/>
      </c>
    </row>
    <row r="8">
      <c r="A8" t="inlineStr">
        <is>
          <t>Notes: Close a row only with CPA note, submission record, secure account reference, assigned frequency, and created calendar rows. Example rows illustrative.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State</t>
        </is>
      </c>
      <c r="B1" s="1" t="inlineStr">
        <is>
          <t>Period label</t>
        </is>
      </c>
      <c r="C1" s="1" t="inlineStr">
        <is>
          <t>Frequency</t>
        </is>
      </c>
      <c r="D1" s="1" t="inlineStr">
        <is>
          <t>Due date (verified)</t>
        </is>
      </c>
      <c r="E1" s="1" t="inlineStr">
        <is>
          <t>Preparer</t>
        </is>
      </c>
      <c r="F1" s="1" t="inlineStr">
        <is>
          <t>Reviewer</t>
        </is>
      </c>
      <c r="G1" s="1" t="inlineStr">
        <is>
          <t>Status (not yet due/prepared/filed/paid/confirmed)</t>
        </is>
      </c>
      <c r="H1" s="1" t="inlineStr">
        <is>
          <t>Days until due</t>
        </is>
      </c>
      <c r="I1" s="1" t="inlineStr">
        <is>
          <t>Confirmation ref</t>
        </is>
      </c>
      <c r="J1" s="1" t="inlineStr">
        <is>
          <t>Note</t>
        </is>
      </c>
    </row>
    <row r="2">
      <c r="A2" t="inlineStr">
        <is>
          <t>Example State A (illustrative)</t>
        </is>
      </c>
      <c r="B2" t="inlineStr">
        <is>
          <t>2026-Q3</t>
        </is>
      </c>
      <c r="C2" t="inlineStr">
        <is>
          <t>Quarterly (illustrative).</t>
        </is>
      </c>
      <c r="D2" t="inlineStr">
        <is>
          <t>2026-10-20</t>
        </is>
      </c>
      <c r="E2" t="inlineStr">
        <is>
          <t>Bookkeeper</t>
        </is>
      </c>
      <c r="F2" t="inlineStr">
        <is>
          <t>Ops Manager</t>
        </is>
      </c>
      <c r="G2" t="inlineStr">
        <is>
          <t>filed</t>
        </is>
      </c>
      <c r="H2" t="n">
        <v>-5</v>
      </c>
      <c r="I2" t="inlineStr">
        <is>
          <t>CONF-ILLUS-001 (illustrative).</t>
        </is>
      </c>
      <c r="J2" t="inlineStr">
        <is>
          <t>Illustrative: acceptance record filed.</t>
        </is>
      </c>
    </row>
    <row r="3">
      <c r="A3" t="inlineStr">
        <is>
          <t>Example State A (illustrative)</t>
        </is>
      </c>
      <c r="B3" t="inlineStr">
        <is>
          <t>2026-Q4</t>
        </is>
      </c>
      <c r="C3" t="inlineStr">
        <is>
          <t>Quarterly (illustrative).</t>
        </is>
      </c>
      <c r="D3" t="inlineStr">
        <is>
          <t>2027-01-20</t>
        </is>
      </c>
      <c r="E3" t="inlineStr">
        <is>
          <t>Bookkeeper</t>
        </is>
      </c>
      <c r="F3" t="inlineStr">
        <is>
          <t>Ops Manager</t>
        </is>
      </c>
      <c r="G3" t="inlineStr">
        <is>
          <t>not yet due</t>
        </is>
      </c>
      <c r="H3" t="n">
        <v>85</v>
      </c>
      <c r="I3" t="inlineStr"/>
      <c r="J3" t="inlineStr">
        <is>
          <t>Illustrative: preparation scheduled.</t>
        </is>
      </c>
    </row>
    <row r="4">
      <c r="H4">
        <f>IF(D2="","",D2-TODAY())</f>
        <v/>
      </c>
    </row>
    <row r="5">
      <c r="H5">
        <f>IF(D3="","",D3-TODAY())</f>
        <v/>
      </c>
    </row>
    <row r="6">
      <c r="H6">
        <f>COUNTIF(G2:G100,"filed")+COUNTIF(G2:G100,"confirmed")</f>
        <v/>
      </c>
    </row>
    <row r="7">
      <c r="H7">
        <f>COUNTIF(G2:G100,"not yet due")+COUNTIF(G2:G100,"prepared")</f>
        <v/>
      </c>
    </row>
    <row r="9">
      <c r="A9" t="inlineStr">
        <is>
          <t>Notes: One row per registration per period. Enter due dates as verified per period. File confirmations the week they arrive. Example rows illustrative.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2026-09-27T18:18:08Z</dcterms:created>
  <dcterms:modified xmlns:dcterms="http://purl.org/dc/terms/" xmlns:xsi="http://www.w3.org/2001/XMLSchema-instance" xsi:type="dcterms:W3CDTF">2026-09-27T18:18:08Z</dcterms:modified>
</cp:coreProperties>
</file>