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sion_register" sheetId="1" state="visible" r:id="rId1"/>
    <sheet xmlns:r="http://schemas.openxmlformats.org/officeDocument/2006/relationships" name="employee_ack_log" sheetId="2" state="visible" r:id="rId2"/>
    <sheet xmlns:r="http://schemas.openxmlformats.org/officeDocument/2006/relationships" name="chase_list" sheetId="3" state="visible" r:id="rId3"/>
    <sheet xmlns:r="http://schemas.openxmlformats.org/officeDocument/2006/relationships" name="refusal_log" sheetId="4" state="visible" r:id="rId4"/>
    <sheet xmlns:r="http://schemas.openxmlformats.org/officeDocument/2006/relationships" name="review_calenda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Version code</t>
        </is>
      </c>
      <c r="B1" s="1" t="inlineStr">
        <is>
          <t>Effective date</t>
        </is>
      </c>
      <c r="C1" s="1" t="inlineStr">
        <is>
          <t>Approval date</t>
        </is>
      </c>
      <c r="D1" s="1" t="inlineStr">
        <is>
          <t>Approver role</t>
        </is>
      </c>
      <c r="E1" s="1" t="inlineStr">
        <is>
          <t>Distribution date</t>
        </is>
      </c>
      <c r="F1" s="1" t="inlineStr">
        <is>
          <t>Acknowledgment due date</t>
        </is>
      </c>
      <c r="G1" s="1" t="inlineStr">
        <is>
          <t>Summary of changes</t>
        </is>
      </c>
      <c r="H1" s="1" t="inlineStr">
        <is>
          <t>Distribution method</t>
        </is>
      </c>
      <c r="I1" s="1" t="inlineStr">
        <is>
          <t>Master file location</t>
        </is>
      </c>
      <c r="J1" s="1" t="inlineStr">
        <is>
          <t>Status</t>
        </is>
      </c>
    </row>
    <row r="2">
      <c r="A2" t="inlineStr">
        <is>
          <t>2026-A</t>
        </is>
      </c>
      <c r="B2" t="inlineStr">
        <is>
          <t>2026-01-15</t>
        </is>
      </c>
      <c r="C2" t="inlineStr">
        <is>
          <t>2026-01-10</t>
        </is>
      </c>
      <c r="D2" t="inlineStr">
        <is>
          <t>Owner</t>
        </is>
      </c>
      <c r="E2" t="inlineStr">
        <is>
          <t>2026-01-15</t>
        </is>
      </c>
      <c r="F2" t="inlineStr">
        <is>
          <t>2026-01-29</t>
        </is>
      </c>
      <c r="G2" t="inlineStr">
        <is>
          <t>Initial versioned edition for tracking</t>
        </is>
      </c>
      <c r="H2" t="inlineStr">
        <is>
          <t>Email with PDF plus printed copies</t>
        </is>
      </c>
      <c r="I2" t="inlineStr">
        <is>
          <t>Shared drive / Handbook / 2026-A master.pdf</t>
        </is>
      </c>
      <c r="J2" t="inlineStr">
        <is>
          <t>Superseded</t>
        </is>
      </c>
    </row>
    <row r="3">
      <c r="A3" t="inlineStr">
        <is>
          <t>2026-B</t>
        </is>
      </c>
      <c r="B3" t="inlineStr">
        <is>
          <t>2026-03-10</t>
        </is>
      </c>
      <c r="C3" t="inlineStr">
        <is>
          <t>2026-03-03</t>
        </is>
      </c>
      <c r="D3" t="inlineStr">
        <is>
          <t>Owner</t>
        </is>
      </c>
      <c r="E3" t="inlineStr">
        <is>
          <t>2026-03-10</t>
        </is>
      </c>
      <c r="F3" t="inlineStr">
        <is>
          <t>2026-03-24</t>
        </is>
      </c>
      <c r="G3" t="inlineStr">
        <is>
          <t>Section 4 reporting window and Section 7 leave request lead time revised</t>
        </is>
      </c>
      <c r="H3" t="inlineStr">
        <is>
          <t>Email with PDF plus printed copies</t>
        </is>
      </c>
      <c r="I3" t="inlineStr">
        <is>
          <t>Shared drive / Handbook / 2026-B master.pdf</t>
        </is>
      </c>
      <c r="J3" t="inlineStr">
        <is>
          <t>Current</t>
        </is>
      </c>
    </row>
    <row r="5">
      <c r="A5" t="inlineStr">
        <is>
          <t>Notes: One row per edition. Only one row marked Current. Never edit a closed row except a dated correction note. Archive prior cycle workbooks by version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1" t="inlineStr">
        <is>
          <t>Employee ID</t>
        </is>
      </c>
      <c r="B1" s="1" t="inlineStr">
        <is>
          <t>Team</t>
        </is>
      </c>
      <c r="C1" s="1" t="inlineStr">
        <is>
          <t>Hire date</t>
        </is>
      </c>
      <c r="D1" s="1" t="inlineStr">
        <is>
          <t>Employment status</t>
        </is>
      </c>
      <c r="E1" s="1" t="inlineStr">
        <is>
          <t>Version received</t>
        </is>
      </c>
      <c r="F1" s="1" t="inlineStr">
        <is>
          <t>Date distributed</t>
        </is>
      </c>
      <c r="G1" s="1" t="inlineStr">
        <is>
          <t>Date signed</t>
        </is>
      </c>
      <c r="H1" s="1" t="inlineStr">
        <is>
          <t>Signature method</t>
        </is>
      </c>
      <c r="I1" s="1" t="inlineStr">
        <is>
          <t>Status</t>
        </is>
      </c>
      <c r="K1">
        <f>COUNTA(A2:A500)</f>
        <v/>
      </c>
    </row>
    <row r="2">
      <c r="A2" t="inlineStr">
        <is>
          <t>Employee 001</t>
        </is>
      </c>
      <c r="B2" t="inlineStr">
        <is>
          <t>Office</t>
        </is>
      </c>
      <c r="C2" t="inlineStr">
        <is>
          <t>2024-06-01</t>
        </is>
      </c>
      <c r="D2" t="inlineStr">
        <is>
          <t>Active</t>
        </is>
      </c>
      <c r="E2" t="inlineStr">
        <is>
          <t>2026-B</t>
        </is>
      </c>
      <c r="F2" t="inlineStr">
        <is>
          <t>2026-03-10</t>
        </is>
      </c>
      <c r="G2" t="inlineStr">
        <is>
          <t>2026-03-14</t>
        </is>
      </c>
      <c r="H2" t="inlineStr">
        <is>
          <t>Paper receipt</t>
        </is>
      </c>
      <c r="I2">
        <f>IF(G2&lt;&gt;"","Signed",IF(TODAY()&gt;VLOOKUP(E2,version_register!A:F,6,FALSE),"Overdue","Missing"))</f>
        <v/>
      </c>
      <c r="K2">
        <f>COUNTIF(I2:I500,"Signed")</f>
        <v/>
      </c>
    </row>
    <row r="3">
      <c r="A3" t="inlineStr">
        <is>
          <t>Employee 002</t>
        </is>
      </c>
      <c r="B3" t="inlineStr">
        <is>
          <t>Shop floor</t>
        </is>
      </c>
      <c r="C3" t="inlineStr">
        <is>
          <t>2025-02-10</t>
        </is>
      </c>
      <c r="D3" t="inlineStr">
        <is>
          <t>Active</t>
        </is>
      </c>
      <c r="E3" t="inlineStr">
        <is>
          <t>2026-B</t>
        </is>
      </c>
      <c r="F3" t="inlineStr">
        <is>
          <t>2026-03-10</t>
        </is>
      </c>
      <c r="G3" t="inlineStr"/>
      <c r="H3" t="inlineStr">
        <is>
          <t>Paper receipt</t>
        </is>
      </c>
      <c r="I3" t="inlineStr">
        <is>
          <t>Missing</t>
        </is>
      </c>
      <c r="K3">
        <f>COUNTIF(I2:I500,"Missing")</f>
        <v/>
      </c>
    </row>
    <row r="4">
      <c r="A4" t="inlineStr">
        <is>
          <t>Employee 003</t>
        </is>
      </c>
      <c r="B4" t="inlineStr">
        <is>
          <t>Evening shift</t>
        </is>
      </c>
      <c r="C4" t="inlineStr">
        <is>
          <t>2023-11-20</t>
        </is>
      </c>
      <c r="D4" t="inlineStr">
        <is>
          <t>Active on leave</t>
        </is>
      </c>
      <c r="E4" t="inlineStr">
        <is>
          <t>2026-B</t>
        </is>
      </c>
      <c r="F4" t="inlineStr">
        <is>
          <t>2026-03-10</t>
        </is>
      </c>
      <c r="G4" t="inlineStr"/>
      <c r="H4" t="inlineStr">
        <is>
          <t>Paper receipt</t>
        </is>
      </c>
      <c r="I4" t="inlineStr">
        <is>
          <t>Overdue</t>
        </is>
      </c>
      <c r="K4">
        <f>COUNTIF(I2:I500,"Overdue")</f>
        <v/>
      </c>
    </row>
    <row r="5">
      <c r="K5">
        <f>IF(K1=0,0,K2/K1)</f>
        <v/>
      </c>
    </row>
    <row r="7">
      <c r="A7" t="inlineStr">
        <is>
          <t>Notes: Status is formula-driven from Date signed and the due date in version_register. Coverage cells K1 to K5 count total active, signed, missing, overdue, and percent signed. Exclude archived separated staff from counts. Illustrative rows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1" t="inlineStr">
        <is>
          <t>Employee ID</t>
        </is>
      </c>
      <c r="B1" s="1" t="inlineStr">
        <is>
          <t>Team</t>
        </is>
      </c>
      <c r="C1" s="1" t="inlineStr">
        <is>
          <t>Version outstanding</t>
        </is>
      </c>
      <c r="D1" s="1" t="inlineStr">
        <is>
          <t>Due date</t>
        </is>
      </c>
      <c r="E1" s="1" t="inlineStr">
        <is>
          <t>Days outstanding</t>
        </is>
      </c>
      <c r="F1" s="1" t="inlineStr">
        <is>
          <t>First reminder date</t>
        </is>
      </c>
      <c r="G1" s="1" t="inlineStr">
        <is>
          <t>Most recent follow-up date</t>
        </is>
      </c>
      <c r="H1" s="1" t="inlineStr">
        <is>
          <t>Channel</t>
        </is>
      </c>
      <c r="I1" s="1" t="inlineStr">
        <is>
          <t>Followed up by</t>
        </is>
      </c>
      <c r="J1" s="1" t="inlineStr">
        <is>
          <t>Result</t>
        </is>
      </c>
      <c r="K1" s="1" t="inlineStr">
        <is>
          <t>Next follow-up date</t>
        </is>
      </c>
      <c r="L1" s="1" t="inlineStr">
        <is>
          <t>Stage</t>
        </is>
      </c>
    </row>
    <row r="2">
      <c r="A2" t="inlineStr">
        <is>
          <t>Employee 002</t>
        </is>
      </c>
      <c r="B2" t="inlineStr">
        <is>
          <t>Shop floor</t>
        </is>
      </c>
      <c r="C2" t="inlineStr">
        <is>
          <t>2026-B</t>
        </is>
      </c>
      <c r="D2" t="inlineStr">
        <is>
          <t>2026-03-24</t>
        </is>
      </c>
      <c r="E2">
        <f>MAX(0,TODAY()-D2)</f>
        <v/>
      </c>
      <c r="F2" t="inlineStr">
        <is>
          <t>2026-03-25</t>
        </is>
      </c>
      <c r="G2" t="inlineStr">
        <is>
          <t>2026-03-28</t>
        </is>
      </c>
      <c r="H2" t="inlineStr">
        <is>
          <t>In-person supervisor prompt</t>
        </is>
      </c>
      <c r="I2" t="inlineStr">
        <is>
          <t>Supervisor</t>
        </is>
      </c>
      <c r="J2" t="inlineStr">
        <is>
          <t>Asked for reading time, agreed to return by next shift</t>
        </is>
      </c>
      <c r="K2" t="inlineStr">
        <is>
          <t>2026-03-30</t>
        </is>
      </c>
      <c r="L2" t="inlineStr">
        <is>
          <t>Stage 2</t>
        </is>
      </c>
    </row>
    <row r="3">
      <c r="A3" t="inlineStr">
        <is>
          <t>Employee 003</t>
        </is>
      </c>
      <c r="B3" t="inlineStr">
        <is>
          <t>Evening shift</t>
        </is>
      </c>
      <c r="C3" t="inlineStr">
        <is>
          <t>2026-B</t>
        </is>
      </c>
      <c r="D3" t="inlineStr">
        <is>
          <t>2026-03-24</t>
        </is>
      </c>
      <c r="E3" t="inlineStr">
        <is>
          <t>4</t>
        </is>
      </c>
      <c r="F3" t="inlineStr">
        <is>
          <t>2026-03-25</t>
        </is>
      </c>
      <c r="G3" t="inlineStr">
        <is>
          <t>2026-03-28</t>
        </is>
      </c>
      <c r="H3" t="inlineStr">
        <is>
          <t>Phone call</t>
        </is>
      </c>
      <c r="I3" t="inlineStr">
        <is>
          <t>Office manager</t>
        </is>
      </c>
      <c r="J3" t="inlineStr">
        <is>
          <t>On leave, re-issue planned on return</t>
        </is>
      </c>
      <c r="K3" t="inlineStr">
        <is>
          <t>2026-04-15</t>
        </is>
      </c>
      <c r="L3" t="inlineStr">
        <is>
          <t>Stage 1</t>
        </is>
      </c>
    </row>
    <row r="5">
      <c r="A5" t="inlineStr">
        <is>
          <t>Notes: Contains only missing and overdue rows. Every row carries a next follow-up date. Move stages from direct reminder to manager notice to in-person check-in. Close rows when log status flips to Signed or to documented refusal. Illustrative rows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Refusal date</t>
        </is>
      </c>
      <c r="B1" s="1" t="inlineStr">
        <is>
          <t>Employee ID</t>
        </is>
      </c>
      <c r="C1" s="1" t="inlineStr">
        <is>
          <t>Version code</t>
        </is>
      </c>
      <c r="D1" s="1" t="inlineStr">
        <is>
          <t>Location</t>
        </is>
      </c>
      <c r="E1" s="1" t="inlineStr">
        <is>
          <t>Witness roles</t>
        </is>
      </c>
      <c r="F1" s="1" t="inlineStr">
        <is>
          <t>Stated summary or declined to state</t>
        </is>
      </c>
      <c r="G1" s="1" t="inlineStr">
        <is>
          <t>Administrator role</t>
        </is>
      </c>
      <c r="H1" s="1" t="inlineStr">
        <is>
          <t>Form file location</t>
        </is>
      </c>
    </row>
    <row r="2">
      <c r="A2" t="inlineStr">
        <is>
          <t>2026-03-28</t>
        </is>
      </c>
      <c r="B2" t="inlineStr">
        <is>
          <t>Employee 004</t>
        </is>
      </c>
      <c r="C2" t="inlineStr">
        <is>
          <t>2026-B</t>
        </is>
      </c>
      <c r="D2" t="inlineStr">
        <is>
          <t>Main office</t>
        </is>
      </c>
      <c r="E2" t="inlineStr">
        <is>
          <t>Office manager plus shift supervisor</t>
        </is>
      </c>
      <c r="F2" t="inlineStr">
        <is>
          <t>Declined to state</t>
        </is>
      </c>
      <c r="G2" t="inlineStr">
        <is>
          <t>Office manager</t>
        </is>
      </c>
      <c r="H2" t="inlineStr">
        <is>
          <t>Filed / Handbook / 2026-B / refusals / Employee 004.pdf</t>
        </is>
      </c>
    </row>
    <row r="4">
      <c r="A4" t="inlineStr">
        <is>
          <t>Notes: Factual record only. Record date, version, witnesses, what was provided and declined. No opinions or motive notes. Store forms with signed receipts for the retention period counsel advises. Illustrative row only.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Anchor</t>
        </is>
      </c>
      <c r="B1" s="1" t="inlineStr">
        <is>
          <t>Scheduled date</t>
        </is>
      </c>
      <c r="C1" s="1" t="inlineStr">
        <is>
          <t>Owner</t>
        </is>
      </c>
      <c r="D1" s="1" t="inlineStr">
        <is>
          <t>Completed date</t>
        </is>
      </c>
      <c r="E1" s="1" t="inlineStr">
        <is>
          <t>Decision or result</t>
        </is>
      </c>
      <c r="F1" s="1" t="inlineStr">
        <is>
          <t>Notes</t>
        </is>
      </c>
    </row>
    <row r="2">
      <c r="A2" t="inlineStr">
        <is>
          <t>Content review</t>
        </is>
      </c>
      <c r="B2" t="inlineStr">
        <is>
          <t>2026-09-01</t>
        </is>
      </c>
      <c r="C2" t="inlineStr">
        <is>
          <t>Owner plus office manager</t>
        </is>
      </c>
      <c r="D2" t="inlineStr">
        <is>
          <t>2026-09-03</t>
        </is>
      </c>
      <c r="E2" t="inlineStr">
        <is>
          <t>Minor clarification, new version planned</t>
        </is>
      </c>
      <c r="F2" t="inlineStr">
        <is>
          <t>Manager feedback collected</t>
        </is>
      </c>
    </row>
    <row r="3">
      <c r="A3" t="inlineStr">
        <is>
          <t>Drafting window</t>
        </is>
      </c>
      <c r="B3" t="inlineStr">
        <is>
          <t>2026-09-15</t>
        </is>
      </c>
      <c r="C3" t="inlineStr">
        <is>
          <t>Owner</t>
        </is>
      </c>
      <c r="D3" t="inlineStr"/>
      <c r="E3" t="inlineStr"/>
      <c r="F3" t="inlineStr">
        <is>
          <t>Draft kept separate from current master</t>
        </is>
      </c>
    </row>
    <row r="4">
      <c r="A4" t="inlineStr">
        <is>
          <t>Distribution day</t>
        </is>
      </c>
      <c r="B4" t="inlineStr">
        <is>
          <t>2026-10-01</t>
        </is>
      </c>
      <c r="C4" t="inlineStr">
        <is>
          <t>Office manager</t>
        </is>
      </c>
      <c r="D4" t="inlineStr"/>
      <c r="E4" t="inlineStr"/>
      <c r="F4" t="inlineStr">
        <is>
          <t>Memo plus handbook location</t>
        </is>
      </c>
    </row>
    <row r="5">
      <c r="A5" t="inlineStr">
        <is>
          <t>Acknowledgment window close</t>
        </is>
      </c>
      <c r="B5" t="inlineStr">
        <is>
          <t>2026-10-22</t>
        </is>
      </c>
      <c r="C5" t="inlineStr">
        <is>
          <t>Office manager</t>
        </is>
      </c>
      <c r="D5" t="inlineStr"/>
      <c r="E5" t="inlineStr"/>
      <c r="F5" t="inlineStr">
        <is>
          <t>Weekly chase reviews during window</t>
        </is>
      </c>
    </row>
    <row r="6">
      <c r="A6" t="inlineStr">
        <is>
          <t>Close-out and archive</t>
        </is>
      </c>
      <c r="B6" t="inlineStr">
        <is>
          <t>2026-10-29</t>
        </is>
      </c>
      <c r="C6" t="inlineStr">
        <is>
          <t>Office manager</t>
        </is>
      </c>
      <c r="D6" t="inlineStr"/>
      <c r="E6" t="inlineStr"/>
      <c r="F6" t="inlineStr">
        <is>
          <t>Coverage recorded, workbook archived</t>
        </is>
      </c>
    </row>
    <row r="7">
      <c r="A7" t="inlineStr">
        <is>
          <t>Quarterly roster check</t>
        </is>
      </c>
      <c r="B7" t="inlineStr">
        <is>
          <t>2026-07-01</t>
        </is>
      </c>
      <c r="C7" t="inlineStr">
        <is>
          <t>Office manager</t>
        </is>
      </c>
      <c r="D7" t="inlineStr">
        <is>
          <t>2026-07-01</t>
        </is>
      </c>
      <c r="E7" t="inlineStr">
        <is>
          <t>New hires verified signed</t>
        </is>
      </c>
      <c r="F7" t="inlineStr">
        <is>
          <t>Storage spot-check passed</t>
        </is>
      </c>
    </row>
    <row r="9">
      <c r="A9" t="inlineStr">
        <is>
          <t>Notes: Annual anchors plus quarterly checks. Record a dated decision even when no change is made. Avoid peak-season months for review dates. Illustrative rows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2026-09-27T18:18:13Z</dcterms:created>
  <dcterms:modified xmlns:dcterms="http://purl.org/dc/terms/" xmlns:xsi="http://www.w3.org/2001/XMLSchema-instance" xsi:type="dcterms:W3CDTF">2026-09-27T18:18:13Z</dcterms:modified>
</cp:coreProperties>
</file>