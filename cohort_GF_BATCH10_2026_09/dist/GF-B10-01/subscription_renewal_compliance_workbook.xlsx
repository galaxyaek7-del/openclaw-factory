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closure Audit Log" sheetId="1" state="visible" r:id="rId1"/>
    <sheet xmlns:r="http://schemas.openxmlformats.org/officeDocument/2006/relationships" name="Consent-Flow Checklist" sheetId="2" state="visible" r:id="rId2"/>
    <sheet xmlns:r="http://schemas.openxmlformats.org/officeDocument/2006/relationships" name="Cancellation-Path Test Log" sheetId="3" state="visible" r:id="rId3"/>
    <sheet xmlns:r="http://schemas.openxmlformats.org/officeDocument/2006/relationships" name="State-Law Register" sheetId="4" state="visible" r:id="rId4"/>
    <sheet xmlns:r="http://schemas.openxmlformats.org/officeDocument/2006/relationships" name="Remediation Track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Touchpoint (illustrative label)</t>
        </is>
      </c>
      <c r="B1" s="1" t="inlineStr">
        <is>
          <t>Address or script name</t>
        </is>
      </c>
      <c r="C1" s="1" t="inlineStr">
        <is>
          <t>Language version</t>
        </is>
      </c>
      <c r="D1" s="1" t="inlineStr">
        <is>
          <t>Review date</t>
        </is>
      </c>
      <c r="E1" s="1" t="inlineStr">
        <is>
          <t>Content (present/partial/missing)</t>
        </is>
      </c>
      <c r="F1" s="1" t="inlineStr">
        <is>
          <t>Prominence (present/partial/missing)</t>
        </is>
      </c>
      <c r="G1" s="1" t="inlineStr">
        <is>
          <t>Proximity (present/partial/missing)</t>
        </is>
      </c>
      <c r="H1" s="1" t="inlineStr">
        <is>
          <t>Retainability (present/partial/missing)</t>
        </is>
      </c>
      <c r="I1" s="1" t="inlineStr">
        <is>
          <t>Open issues count</t>
        </is>
      </c>
      <c r="J1" s="1" t="inlineStr">
        <is>
          <t>Evidence filed (Y/N)</t>
        </is>
      </c>
      <c r="K1" s="1" t="inlineStr">
        <is>
          <t>Owner</t>
        </is>
      </c>
      <c r="L1" s="1" t="inlineStr">
        <is>
          <t>Finding note</t>
        </is>
      </c>
    </row>
    <row r="2">
      <c r="A2" t="inlineStr">
        <is>
          <t>Plan page - monthly plan (illustrative)</t>
        </is>
      </c>
      <c r="B2" t="inlineStr">
        <is>
          <t>example.com/plans</t>
        </is>
      </c>
      <c r="C2" t="inlineStr">
        <is>
          <t>v2026-09-01</t>
        </is>
      </c>
      <c r="D2" t="inlineStr">
        <is>
          <t>2026-09-10</t>
        </is>
      </c>
      <c r="E2" t="inlineStr">
        <is>
          <t>partial</t>
        </is>
      </c>
      <c r="F2" t="inlineStr">
        <is>
          <t>present</t>
        </is>
      </c>
      <c r="G2" t="inlineStr">
        <is>
          <t>missing</t>
        </is>
      </c>
      <c r="H2" t="inlineStr">
        <is>
          <t>present</t>
        </is>
      </c>
      <c r="I2" t="n">
        <v>2</v>
      </c>
      <c r="J2" t="inlineStr">
        <is>
          <t>Y</t>
        </is>
      </c>
      <c r="K2" t="inlineStr">
        <is>
          <t>Ops Manager</t>
        </is>
      </c>
      <c r="L2" t="inlineStr">
        <is>
          <t>Illustrative: renewal timing sentence not adjacent to button.</t>
        </is>
      </c>
    </row>
    <row r="3">
      <c r="A3" t="inlineStr">
        <is>
          <t>Checkout page - annual plan (illustrative)</t>
        </is>
      </c>
      <c r="B3" t="inlineStr">
        <is>
          <t>example.com/checkout</t>
        </is>
      </c>
      <c r="C3" t="inlineStr">
        <is>
          <t>v2026-09-01</t>
        </is>
      </c>
      <c r="D3" t="inlineStr">
        <is>
          <t>2026-09-10</t>
        </is>
      </c>
      <c r="E3" t="inlineStr">
        <is>
          <t>present</t>
        </is>
      </c>
      <c r="F3" t="inlineStr">
        <is>
          <t>present</t>
        </is>
      </c>
      <c r="G3" t="inlineStr">
        <is>
          <t>present</t>
        </is>
      </c>
      <c r="H3" t="inlineStr">
        <is>
          <t>present</t>
        </is>
      </c>
      <c r="I3" t="n">
        <v>0</v>
      </c>
      <c r="J3" t="inlineStr">
        <is>
          <t>Y</t>
        </is>
      </c>
      <c r="K3" t="inlineStr">
        <is>
          <t>Ops Manager</t>
        </is>
      </c>
      <c r="L3" t="inlineStr">
        <is>
          <t>Illustrative: all four attributes observed present.</t>
        </is>
      </c>
    </row>
    <row r="4">
      <c r="A4" t="inlineStr">
        <is>
          <t>Confirmation email (illustrative)</t>
        </is>
      </c>
      <c r="B4" t="inlineStr">
        <is>
          <t>order confirmation email</t>
        </is>
      </c>
      <c r="C4" t="inlineStr">
        <is>
          <t>v2026-09-01</t>
        </is>
      </c>
      <c r="D4" t="inlineStr">
        <is>
          <t>2026-09-10</t>
        </is>
      </c>
      <c r="E4" t="inlineStr">
        <is>
          <t>partial</t>
        </is>
      </c>
      <c r="F4" t="inlineStr">
        <is>
          <t>present</t>
        </is>
      </c>
      <c r="G4" t="inlineStr">
        <is>
          <t>present</t>
        </is>
      </c>
      <c r="H4" t="inlineStr">
        <is>
          <t>missing</t>
        </is>
      </c>
      <c r="I4" t="n">
        <v>2</v>
      </c>
      <c r="J4" t="inlineStr">
        <is>
          <t>N</t>
        </is>
      </c>
      <c r="K4" t="inlineStr">
        <is>
          <t>Support Lead</t>
        </is>
      </c>
      <c r="L4" t="inlineStr">
        <is>
          <t>Illustrative: next billing date and cancellation method absent.</t>
        </is>
      </c>
    </row>
    <row r="5">
      <c r="I5">
        <f>COUNTIF(E2:H4,"missing")+COUNTIF(E2:H4,"partial")</f>
        <v/>
      </c>
      <c r="J5">
        <f>COUNTIF(J2:J4,"N")</f>
        <v/>
      </c>
    </row>
    <row r="6">
      <c r="I6">
        <f>COUNTIF(I2:I4,"&gt;0")</f>
        <v/>
      </c>
      <c r="J6">
        <f>COUNTA(A2:A100)</f>
        <v/>
      </c>
    </row>
    <row r="8">
      <c r="A8" t="inlineStr">
        <is>
          <t>Notes: One row per enrollment surface and variant. Enter present, partial, or missing per attribute. Example rows are illustrative only. Verify state law locally and confirm language with qualified counsel. Column I open-issue counts are illustrative tallies, not legal conclusions.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1" t="inlineStr">
        <is>
          <t>Enrollment surface (illustrative)</t>
        </is>
      </c>
      <c r="B1" s="1" t="inlineStr">
        <is>
          <t>Separate step (Y/N)</t>
        </is>
      </c>
      <c r="C1" s="1" t="inlineStr">
        <is>
          <t>Adjacent language (Y/N)</t>
        </is>
      </c>
      <c r="D1" s="1" t="inlineStr">
        <is>
          <t>No pre-checked box (Y/N)</t>
        </is>
      </c>
      <c r="E1" s="1" t="inlineStr">
        <is>
          <t>Record has version+time (Y/N)</t>
        </is>
      </c>
      <c r="F1" s="1" t="inlineStr">
        <is>
          <t>Retrievable by support (Y/N)</t>
        </is>
      </c>
      <c r="G1" s="1" t="inlineStr">
        <is>
          <t>Confirmation restates renewal (Y/N)</t>
        </is>
      </c>
      <c r="H1" s="1" t="inlineStr">
        <is>
          <t>Negative count</t>
        </is>
      </c>
      <c r="I1" s="1" t="inlineStr">
        <is>
          <t>Owner</t>
        </is>
      </c>
      <c r="J1" s="1" t="inlineStr">
        <is>
          <t>Re-test date</t>
        </is>
      </c>
      <c r="K1" s="1" t="inlineStr">
        <is>
          <t>Note</t>
        </is>
      </c>
    </row>
    <row r="2">
      <c r="A2" t="inlineStr">
        <is>
          <t>Online checkout (illustrative)</t>
        </is>
      </c>
      <c r="B2" t="inlineStr">
        <is>
          <t>Y</t>
        </is>
      </c>
      <c r="C2" t="inlineStr">
        <is>
          <t>Y</t>
        </is>
      </c>
      <c r="D2" t="inlineStr">
        <is>
          <t>Y</t>
        </is>
      </c>
      <c r="E2" t="inlineStr">
        <is>
          <t>N</t>
        </is>
      </c>
      <c r="F2" t="inlineStr">
        <is>
          <t>partial</t>
        </is>
      </c>
      <c r="G2" t="inlineStr">
        <is>
          <t>Y</t>
        </is>
      </c>
      <c r="H2" t="n">
        <v>2</v>
      </c>
      <c r="I2" t="inlineStr">
        <is>
          <t>Ops Manager</t>
        </is>
      </c>
      <c r="J2" t="inlineStr">
        <is>
          <t>2026-09-17</t>
        </is>
      </c>
      <c r="K2" t="inlineStr">
        <is>
          <t>Illustrative: version storage gap.</t>
        </is>
      </c>
    </row>
    <row r="3">
      <c r="A3" t="inlineStr">
        <is>
          <t>Phone sales script (illustrative)</t>
        </is>
      </c>
      <c r="B3" t="inlineStr">
        <is>
          <t>Y</t>
        </is>
      </c>
      <c r="C3" t="inlineStr">
        <is>
          <t>Y</t>
        </is>
      </c>
      <c r="D3" t="inlineStr">
        <is>
          <t>Y</t>
        </is>
      </c>
      <c r="E3" t="inlineStr">
        <is>
          <t>Y</t>
        </is>
      </c>
      <c r="F3" t="inlineStr">
        <is>
          <t>N</t>
        </is>
      </c>
      <c r="G3" t="inlineStr">
        <is>
          <t>N</t>
        </is>
      </c>
      <c r="H3" t="n">
        <v>2</v>
      </c>
      <c r="I3" t="inlineStr">
        <is>
          <t>Support Lead</t>
        </is>
      </c>
      <c r="J3" t="inlineStr">
        <is>
          <t>2026-09-17</t>
        </is>
      </c>
      <c r="K3" t="inlineStr">
        <is>
          <t>Illustrative: retrieval and confirmation gaps.</t>
        </is>
      </c>
    </row>
    <row r="5">
      <c r="H5">
        <f>COUNTIF(B2:G4,"N")+COUNTIF(B2:G4,"partial")</f>
        <v/>
      </c>
      <c r="K5">
        <f>COUNTA(A2:A100)</f>
        <v/>
      </c>
    </row>
    <row r="6">
      <c r="H6">
        <f>SUM(H2:H4)</f>
        <v/>
      </c>
    </row>
    <row r="8">
      <c r="A8" t="inlineStr">
        <is>
          <t>Notes: Answer each question per surface. Example rows illustrative. Negative answers become remediation items. Confirm record design with qualified counsel.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1" t="inlineStr">
        <is>
          <t>Trial ID (illustrative)</t>
        </is>
      </c>
      <c r="B1" s="1" t="inlineStr">
        <is>
          <t>Channel</t>
        </is>
      </c>
      <c r="C1" s="1" t="inlineStr">
        <is>
          <t>Tester role</t>
        </is>
      </c>
      <c r="D1" s="1" t="inlineStr">
        <is>
          <t>Trial date</t>
        </is>
      </c>
      <c r="E1" s="1" t="inlineStr">
        <is>
          <t>Start point</t>
        </is>
      </c>
      <c r="F1" s="1" t="inlineStr">
        <is>
          <t>Steps or clicks</t>
        </is>
      </c>
      <c r="G1" s="1" t="inlineStr">
        <is>
          <t>Elapsed minutes</t>
        </is>
      </c>
      <c r="H1" s="1" t="inlineStr">
        <is>
          <t>Confirmation received (Y/N)</t>
        </is>
      </c>
      <c r="I1" s="1" t="inlineStr">
        <is>
          <t>Billing stop verified (Y/N)</t>
        </is>
      </c>
      <c r="J1" s="1" t="inlineStr">
        <is>
          <t>Pass (Y/N)</t>
        </is>
      </c>
      <c r="K1" s="1" t="inlineStr">
        <is>
          <t>Obstacle note</t>
        </is>
      </c>
    </row>
    <row r="2">
      <c r="A2" t="inlineStr">
        <is>
          <t>T-001 (illustrative)</t>
        </is>
      </c>
      <c r="B2" t="inlineStr">
        <is>
          <t>Online self-service</t>
        </is>
      </c>
      <c r="C2" t="inlineStr">
        <is>
          <t>Support Lead</t>
        </is>
      </c>
      <c r="D2" t="inlineStr">
        <is>
          <t>2026-09-10</t>
        </is>
      </c>
      <c r="E2" t="inlineStr">
        <is>
          <t>Account home</t>
        </is>
      </c>
      <c r="F2" t="n">
        <v>3</v>
      </c>
      <c r="G2" t="n">
        <v>4</v>
      </c>
      <c r="H2" t="inlineStr">
        <is>
          <t>Y</t>
        </is>
      </c>
      <c r="I2" t="inlineStr">
        <is>
          <t>Y</t>
        </is>
      </c>
      <c r="J2" t="inlineStr">
        <is>
          <t>Y</t>
        </is>
      </c>
      <c r="K2" t="inlineStr">
        <is>
          <t>Illustrative: emailed confirmation filed.</t>
        </is>
      </c>
    </row>
    <row r="3">
      <c r="A3" t="inlineStr">
        <is>
          <t>T-002 (illustrative)</t>
        </is>
      </c>
      <c r="B3" t="inlineStr">
        <is>
          <t>Phone</t>
        </is>
      </c>
      <c r="C3" t="inlineStr">
        <is>
          <t>Ops Manager</t>
        </is>
      </c>
      <c r="D3" t="inlineStr">
        <is>
          <t>2026-09-10</t>
        </is>
      </c>
      <c r="E3" t="inlineStr">
        <is>
          <t>Help page number</t>
        </is>
      </c>
      <c r="F3" t="n">
        <v>6</v>
      </c>
      <c r="G3" t="n">
        <v>22</v>
      </c>
      <c r="H3" t="inlineStr">
        <is>
          <t>N</t>
        </is>
      </c>
      <c r="I3" t="inlineStr">
        <is>
          <t>N</t>
        </is>
      </c>
      <c r="J3" t="inlineStr">
        <is>
          <t>N</t>
        </is>
      </c>
      <c r="K3" t="inlineStr">
        <is>
          <t>Illustrative: verbal assurance only, charge still scheduled.</t>
        </is>
      </c>
    </row>
    <row r="4">
      <c r="A4" t="inlineStr">
        <is>
          <t>T-003 (illustrative)</t>
        </is>
      </c>
      <c r="B4" t="inlineStr">
        <is>
          <t>Email request</t>
        </is>
      </c>
      <c r="C4" t="inlineStr">
        <is>
          <t>Ops Manager</t>
        </is>
      </c>
      <c r="D4" t="inlineStr">
        <is>
          <t>2026-09-11</t>
        </is>
      </c>
      <c r="E4" t="inlineStr">
        <is>
          <t>Support address</t>
        </is>
      </c>
      <c r="F4" t="n">
        <v>2</v>
      </c>
      <c r="G4" t="n">
        <v>1440</v>
      </c>
      <c r="H4" t="inlineStr">
        <is>
          <t>Y</t>
        </is>
      </c>
      <c r="I4" t="inlineStr">
        <is>
          <t>Y</t>
        </is>
      </c>
      <c r="J4" t="inlineStr">
        <is>
          <t>Y</t>
        </is>
      </c>
      <c r="K4" t="inlineStr">
        <is>
          <t>Illustrative: slow response, confirmation eventually received.</t>
        </is>
      </c>
    </row>
    <row r="6">
      <c r="G6">
        <f>AVERAGE(G2:G5)</f>
        <v/>
      </c>
      <c r="K6">
        <f>IF(G7&gt;0,"retest required","all passing")</f>
        <v/>
      </c>
    </row>
    <row r="7">
      <c r="G7">
        <f>COUNTIF(J2:J100,"N")</f>
        <v/>
      </c>
    </row>
    <row r="8">
      <c r="G8">
        <f>COUNTIF(J2:J100,"Y")</f>
        <v/>
      </c>
    </row>
    <row r="10">
      <c r="A10" t="inlineStr">
        <is>
          <t>Notes: Time each trial end to end and verify billing stop. Example rows illustrative only. Rotate testers and include one locked-out scenario per quarter.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State</t>
        </is>
      </c>
      <c r="B1" s="1" t="inlineStr">
        <is>
          <t>Customers (illustrative count)</t>
        </is>
      </c>
      <c r="C1" s="1" t="inlineStr">
        <is>
          <t>Last verified date</t>
        </is>
      </c>
      <c r="D1" s="1" t="inlineStr">
        <is>
          <t>Verified with (counsel source)</t>
        </is>
      </c>
      <c r="E1" s="1" t="inlineStr">
        <is>
          <t>Operational requirements (per counsel)</t>
        </is>
      </c>
      <c r="F1" s="1" t="inlineStr">
        <is>
          <t>Linked disclosure rows</t>
        </is>
      </c>
      <c r="G1" s="1" t="inlineStr">
        <is>
          <t>Next re-verify date</t>
        </is>
      </c>
      <c r="H1" s="1" t="inlineStr">
        <is>
          <t>Days since verified</t>
        </is>
      </c>
      <c r="I1" s="1" t="inlineStr">
        <is>
          <t>Status (verified/pending/stale)</t>
        </is>
      </c>
    </row>
    <row r="2">
      <c r="A2" t="inlineStr">
        <is>
          <t>Example State A (illustrative)</t>
        </is>
      </c>
      <c r="B2" t="n">
        <v>120</v>
      </c>
      <c r="C2" t="inlineStr">
        <is>
          <t>2026-09-01</t>
        </is>
      </c>
      <c r="D2" t="inlineStr">
        <is>
          <t>Outside counsel memo Sep 2026 (illustrative)</t>
        </is>
      </c>
      <c r="E2" t="inlineStr">
        <is>
          <t>Illustrative: reminder and cancellation entries per counsel; verify locally.</t>
        </is>
      </c>
      <c r="F2" t="inlineStr">
        <is>
          <t>Disclosure rows 1-3</t>
        </is>
      </c>
      <c r="G2" t="inlineStr">
        <is>
          <t>2026-12-01</t>
        </is>
      </c>
      <c r="H2" t="n">
        <v>9</v>
      </c>
      <c r="I2" t="inlineStr">
        <is>
          <t>verified</t>
        </is>
      </c>
    </row>
    <row r="3">
      <c r="A3" t="inlineStr">
        <is>
          <t>Example State B (illustrative)</t>
        </is>
      </c>
      <c r="B3" t="n">
        <v>40</v>
      </c>
      <c r="C3" t="inlineStr"/>
      <c r="D3" t="inlineStr"/>
      <c r="E3" t="inlineStr">
        <is>
          <t>Pending verification - do not rely.</t>
        </is>
      </c>
      <c r="F3" t="inlineStr"/>
      <c r="G3" t="inlineStr">
        <is>
          <t>2026-10-01</t>
        </is>
      </c>
      <c r="H3" t="inlineStr"/>
      <c r="I3" t="inlineStr">
        <is>
          <t>pending</t>
        </is>
      </c>
    </row>
    <row r="4">
      <c r="H4">
        <f>IF(C2="","",TODAY()-C2)</f>
        <v/>
      </c>
      <c r="I4">
        <f>IF(C2="","pending",IF(H4&gt;90,"stale","verified"))</f>
        <v/>
      </c>
    </row>
    <row r="5">
      <c r="H5">
        <f>IF(C3="","",TODAY()-C3)</f>
        <v/>
      </c>
    </row>
    <row r="6">
      <c r="B6">
        <f>SUM(B2:B3)</f>
        <v/>
      </c>
    </row>
    <row r="8">
      <c r="A8" t="inlineStr">
        <is>
          <t>Notes: Index of verification work only. Ships with no pre-filled requirements. Verify state law locally with qualified counsel. Example rows illustrative.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1" t="inlineStr">
        <is>
          <t>Item ID</t>
        </is>
      </c>
      <c r="B1" s="1" t="inlineStr">
        <is>
          <t>Finding source</t>
        </is>
      </c>
      <c r="C1" s="1" t="inlineStr">
        <is>
          <t>Description</t>
        </is>
      </c>
      <c r="D1" s="1" t="inlineStr">
        <is>
          <t>Severity (urgent/near-term/horizon)</t>
        </is>
      </c>
      <c r="E1" s="1" t="inlineStr">
        <is>
          <t>Window (30/60/90)</t>
        </is>
      </c>
      <c r="F1" s="1" t="inlineStr">
        <is>
          <t>Owner</t>
        </is>
      </c>
      <c r="G1" s="1" t="inlineStr">
        <is>
          <t>Due date</t>
        </is>
      </c>
      <c r="H1" s="1" t="inlineStr">
        <is>
          <t>Days open</t>
        </is>
      </c>
      <c r="I1" s="1" t="inlineStr">
        <is>
          <t>Counsel review (pending/done)</t>
        </is>
      </c>
      <c r="J1" s="1" t="inlineStr">
        <is>
          <t>Evidence attached (Y/N)</t>
        </is>
      </c>
      <c r="K1" s="1" t="inlineStr">
        <is>
          <t>Status (open/closed)</t>
        </is>
      </c>
    </row>
    <row r="2">
      <c r="A2" t="inlineStr">
        <is>
          <t>R-01 (illustrative)</t>
        </is>
      </c>
      <c r="B2" t="inlineStr">
        <is>
          <t>Disclosure pass</t>
        </is>
      </c>
      <c r="C2" t="inlineStr">
        <is>
          <t>Illustrative: move renewal sentence adjacent to button.</t>
        </is>
      </c>
      <c r="D2" t="inlineStr">
        <is>
          <t>urgent</t>
        </is>
      </c>
      <c r="E2" t="n">
        <v>30</v>
      </c>
      <c r="F2" t="inlineStr">
        <is>
          <t>Ops Manager</t>
        </is>
      </c>
      <c r="G2" t="inlineStr">
        <is>
          <t>2026-10-10</t>
        </is>
      </c>
      <c r="H2" t="n">
        <v>0</v>
      </c>
      <c r="I2" t="inlineStr">
        <is>
          <t>pending</t>
        </is>
      </c>
      <c r="J2" t="inlineStr">
        <is>
          <t>N</t>
        </is>
      </c>
      <c r="K2" t="inlineStr">
        <is>
          <t>open</t>
        </is>
      </c>
    </row>
    <row r="3">
      <c r="A3" t="inlineStr">
        <is>
          <t>R-02 (illustrative)</t>
        </is>
      </c>
      <c r="B3" t="inlineStr">
        <is>
          <t>Cancellation pass</t>
        </is>
      </c>
      <c r="C3" t="inlineStr">
        <is>
          <t>Illustrative: add written confirmation to phone path.</t>
        </is>
      </c>
      <c r="D3" t="inlineStr">
        <is>
          <t>urgent</t>
        </is>
      </c>
      <c r="E3" t="n">
        <v>30</v>
      </c>
      <c r="F3" t="inlineStr">
        <is>
          <t>Support Lead</t>
        </is>
      </c>
      <c r="G3" t="inlineStr">
        <is>
          <t>2026-10-10</t>
        </is>
      </c>
      <c r="H3" t="n">
        <v>0</v>
      </c>
      <c r="I3" t="inlineStr">
        <is>
          <t>pending</t>
        </is>
      </c>
      <c r="J3" t="inlineStr">
        <is>
          <t>N</t>
        </is>
      </c>
      <c r="K3" t="inlineStr">
        <is>
          <t>open</t>
        </is>
      </c>
    </row>
    <row r="4">
      <c r="A4" t="inlineStr">
        <is>
          <t>R-03 (illustrative)</t>
        </is>
      </c>
      <c r="B4" t="inlineStr">
        <is>
          <t>Consent pass</t>
        </is>
      </c>
      <c r="C4" t="inlineStr">
        <is>
          <t>Illustrative: add terms-version storage and retrieval test.</t>
        </is>
      </c>
      <c r="D4" t="inlineStr">
        <is>
          <t>near-term</t>
        </is>
      </c>
      <c r="E4" t="n">
        <v>60</v>
      </c>
      <c r="F4" t="inlineStr">
        <is>
          <t>Ops Manager</t>
        </is>
      </c>
      <c r="G4" t="inlineStr">
        <is>
          <t>2026-11-10</t>
        </is>
      </c>
      <c r="H4" t="n">
        <v>0</v>
      </c>
      <c r="I4" t="inlineStr">
        <is>
          <t>pending</t>
        </is>
      </c>
      <c r="J4" t="inlineStr">
        <is>
          <t>N</t>
        </is>
      </c>
      <c r="K4" t="inlineStr">
        <is>
          <t>open</t>
        </is>
      </c>
    </row>
    <row r="5">
      <c r="H5">
        <f>IF(G2="","",TODAY()-G2+30)</f>
        <v/>
      </c>
    </row>
    <row r="6">
      <c r="H6">
        <f>COUNTIF(K2:K100,"open")</f>
        <v/>
      </c>
    </row>
    <row r="7">
      <c r="H7">
        <f>COUNTIF(K2:K100,"closed")</f>
        <v/>
      </c>
    </row>
    <row r="8">
      <c r="H8">
        <f>COUNTIFS(K2:K100,"open",G2:G100,"&lt;"&amp;TODAY())</f>
        <v/>
      </c>
    </row>
    <row r="10">
      <c r="A10" t="inlineStr">
        <is>
          <t>Notes: Severity is operational priority, not a legal conclusion. Close items only with filed evidence and re-test. Example rows illustrative.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2026-09-27T18:18:08Z</dcterms:created>
  <dcterms:modified xmlns:dcterms="http://purl.org/dc/terms/" xmlns:xsi="http://www.w3.org/2001/XMLSchema-instance" xsi:type="dcterms:W3CDTF">2026-09-27T18:18:08Z</dcterms:modified>
</cp:coreProperties>
</file>