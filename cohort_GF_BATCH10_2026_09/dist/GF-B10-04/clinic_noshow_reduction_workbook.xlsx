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 no-show log" sheetId="1" state="visible" r:id="rId1"/>
    <sheet xmlns:r="http://schemas.openxmlformats.org/officeDocument/2006/relationships" name="Message performance tracker" sheetId="2" state="visible" r:id="rId2"/>
    <sheet xmlns:r="http://schemas.openxmlformats.org/officeDocument/2006/relationships" name="Waitlist log" sheetId="3" state="visible" r:id="rId3"/>
    <sheet xmlns:r="http://schemas.openxmlformats.org/officeDocument/2006/relationships" name="Reason-code summary" sheetId="4" state="visible" r:id="rId4"/>
    <sheet xmlns:r="http://schemas.openxmlformats.org/officeDocument/2006/relationships" name="Rollout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Provider</t>
        </is>
      </c>
      <c r="C1" s="1" t="inlineStr">
        <is>
          <t>Appointments booked</t>
        </is>
      </c>
      <c r="D1" s="1" t="inlineStr">
        <is>
          <t>Confirmed (Yes replies)</t>
        </is>
      </c>
      <c r="E1" s="1" t="inlineStr">
        <is>
          <t>No-shows</t>
        </is>
      </c>
      <c r="F1" s="1" t="inlineStr">
        <is>
          <t>Same-day cancellations</t>
        </is>
      </c>
      <c r="G1" s="1" t="inlineStr">
        <is>
          <t>Filled from waitlist</t>
        </is>
      </c>
      <c r="H1">
        <f>SUM(E2:E200)/SUM(C2:C200)</f>
        <v/>
      </c>
    </row>
    <row r="2">
      <c r="A2" t="inlineStr">
        <is>
          <t>2026-09-07</t>
        </is>
      </c>
      <c r="B2" t="inlineStr">
        <is>
          <t>Provider A</t>
        </is>
      </c>
      <c r="C2" t="n">
        <v>22</v>
      </c>
      <c r="D2" t="n">
        <v>15</v>
      </c>
      <c r="E2" t="n">
        <v>4</v>
      </c>
      <c r="F2" t="n">
        <v>1</v>
      </c>
      <c r="G2" t="n">
        <v>1</v>
      </c>
      <c r="H2">
        <f>SUM(D2:D200)/SUM(C2:C200)</f>
        <v/>
      </c>
    </row>
    <row r="3">
      <c r="A3" t="inlineStr">
        <is>
          <t>2026-09-08</t>
        </is>
      </c>
      <c r="B3" t="inlineStr">
        <is>
          <t>Provider B</t>
        </is>
      </c>
      <c r="C3" t="n">
        <v>18</v>
      </c>
      <c r="D3" t="n">
        <v>12</v>
      </c>
      <c r="E3" t="n">
        <v>3</v>
      </c>
      <c r="F3" t="n">
        <v>2</v>
      </c>
      <c r="G3" t="n">
        <v>0</v>
      </c>
      <c r="H3">
        <f>SUM(G2:G200)</f>
        <v/>
      </c>
    </row>
    <row r="4">
      <c r="A4" t="inlineStr">
        <is>
          <t>2026-09-09</t>
        </is>
      </c>
      <c r="B4" t="inlineStr">
        <is>
          <t>Provider A</t>
        </is>
      </c>
      <c r="C4" t="n">
        <v>24</v>
      </c>
      <c r="D4" t="n">
        <v>18</v>
      </c>
      <c r="E4" t="n">
        <v>2</v>
      </c>
      <c r="F4" t="n">
        <v>1</v>
      </c>
      <c r="G4" t="n">
        <v>2</v>
      </c>
    </row>
    <row r="6">
      <c r="A6" t="inlineStr">
        <is>
          <t>Notes: H1 is the no-show rate. H2 is the confirmation rate. H3 totals waitlist fills. Example rows are illustrative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Week starting</t>
        </is>
      </c>
      <c r="B1" s="1" t="inlineStr">
        <is>
          <t>Touch sent (7-day/48-hour/same-day)</t>
        </is>
      </c>
      <c r="C1" s="1" t="inlineStr">
        <is>
          <t>Messages sent</t>
        </is>
      </c>
      <c r="D1" s="1" t="inlineStr">
        <is>
          <t>YES replies</t>
        </is>
      </c>
      <c r="E1" s="1" t="inlineStr">
        <is>
          <t>NO replies</t>
        </is>
      </c>
      <c r="F1" s="1" t="inlineStr">
        <is>
          <t>No reply</t>
        </is>
      </c>
      <c r="G1" s="1" t="inlineStr">
        <is>
          <t>Rescheduled after NO</t>
        </is>
      </c>
      <c r="H1">
        <f>SUM(D2:D200)/SUM(C2:C200)</f>
        <v/>
      </c>
    </row>
    <row r="2">
      <c r="A2" t="inlineStr">
        <is>
          <t>2026-09-07</t>
        </is>
      </c>
      <c r="B2" t="inlineStr">
        <is>
          <t>7-day</t>
        </is>
      </c>
      <c r="C2" t="n">
        <v>60</v>
      </c>
      <c r="D2" t="n">
        <v>35</v>
      </c>
      <c r="E2" t="n">
        <v>5</v>
      </c>
      <c r="F2" t="n">
        <v>20</v>
      </c>
      <c r="G2" t="n">
        <v>3</v>
      </c>
      <c r="H2">
        <f>SUM(E2:E200)/SUM(C2:C200)</f>
        <v/>
      </c>
    </row>
    <row r="3">
      <c r="A3" t="inlineStr">
        <is>
          <t>2026-09-07</t>
        </is>
      </c>
      <c r="B3" t="inlineStr">
        <is>
          <t>48-hour</t>
        </is>
      </c>
      <c r="C3" t="n">
        <v>58</v>
      </c>
      <c r="D3" t="n">
        <v>30</v>
      </c>
      <c r="E3" t="n">
        <v>4</v>
      </c>
      <c r="F3" t="n">
        <v>24</v>
      </c>
      <c r="G3" t="n">
        <v>2</v>
      </c>
      <c r="H3">
        <f>SUM(F2:F200)/SUM(C2:C200)</f>
        <v/>
      </c>
    </row>
    <row r="4">
      <c r="A4" t="inlineStr">
        <is>
          <t>2026-09-07</t>
        </is>
      </c>
      <c r="B4" t="inlineStr">
        <is>
          <t>same-day</t>
        </is>
      </c>
      <c r="C4" t="n">
        <v>55</v>
      </c>
      <c r="D4" t="n">
        <v>20</v>
      </c>
      <c r="E4" t="n">
        <v>2</v>
      </c>
      <c r="F4" t="n">
        <v>33</v>
      </c>
      <c r="G4" t="n">
        <v>1</v>
      </c>
    </row>
    <row r="6">
      <c r="A6" t="inlineStr">
        <is>
          <t>Notes: One row per touch per week. H1/H2/H3 give reply mix. Example rows are illustrative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Date slot opened</t>
        </is>
      </c>
      <c r="B1" s="1" t="inlineStr">
        <is>
          <t>Slot date and time</t>
        </is>
      </c>
      <c r="C1" s="1" t="inlineStr">
        <is>
          <t>Provider</t>
        </is>
      </c>
      <c r="D1" s="1" t="inlineStr">
        <is>
          <t>Patient reference code</t>
        </is>
      </c>
      <c r="E1" s="1" t="inlineStr">
        <is>
          <t>Contacted (Yes/No)</t>
        </is>
      </c>
      <c r="F1" s="1" t="inlineStr">
        <is>
          <t>Accepted (Yes/No/Declined)</t>
        </is>
      </c>
      <c r="G1" s="1" t="inlineStr">
        <is>
          <t>Filled date</t>
        </is>
      </c>
      <c r="H1" s="1" t="inlineStr">
        <is>
          <t>Staff initials</t>
        </is>
      </c>
      <c r="I1">
        <f>COUNTIF(F2:F200,"Yes")</f>
        <v/>
      </c>
    </row>
    <row r="2">
      <c r="A2" t="inlineStr">
        <is>
          <t>2026-09-08</t>
        </is>
      </c>
      <c r="B2" t="inlineStr">
        <is>
          <t>2026-09-10 09:00</t>
        </is>
      </c>
      <c r="C2" t="inlineStr">
        <is>
          <t>Provider A</t>
        </is>
      </c>
      <c r="D2" t="inlineStr">
        <is>
          <t>REF-1042</t>
        </is>
      </c>
      <c r="E2" t="inlineStr">
        <is>
          <t>Yes</t>
        </is>
      </c>
      <c r="F2" t="inlineStr">
        <is>
          <t>Yes</t>
        </is>
      </c>
      <c r="G2" t="inlineStr">
        <is>
          <t>2026-09-08</t>
        </is>
      </c>
      <c r="H2" t="inlineStr">
        <is>
          <t>OM</t>
        </is>
      </c>
      <c r="I2">
        <f>COUNTIF(E2:E200,"No")</f>
        <v/>
      </c>
    </row>
    <row r="3">
      <c r="A3" t="inlineStr">
        <is>
          <t>2026-09-08</t>
        </is>
      </c>
      <c r="B3" t="inlineStr">
        <is>
          <t>2026-09-10 11:30</t>
        </is>
      </c>
      <c r="C3" t="inlineStr">
        <is>
          <t>Provider B</t>
        </is>
      </c>
      <c r="D3" t="inlineStr">
        <is>
          <t>REF-1043</t>
        </is>
      </c>
      <c r="E3" t="inlineStr">
        <is>
          <t>Yes</t>
        </is>
      </c>
      <c r="F3" t="inlineStr">
        <is>
          <t>Declined</t>
        </is>
      </c>
      <c r="G3" t="inlineStr"/>
      <c r="H3" t="inlineStr">
        <is>
          <t>OM</t>
        </is>
      </c>
    </row>
    <row r="4">
      <c r="A4" t="inlineStr">
        <is>
          <t>2026-09-09</t>
        </is>
      </c>
      <c r="B4" t="inlineStr">
        <is>
          <t>2026-09-11 14:00</t>
        </is>
      </c>
      <c r="C4" t="inlineStr">
        <is>
          <t>Provider A</t>
        </is>
      </c>
      <c r="D4" t="inlineStr">
        <is>
          <t>REF-1044</t>
        </is>
      </c>
      <c r="E4" t="inlineStr">
        <is>
          <t>No</t>
        </is>
      </c>
      <c r="F4" t="inlineStr"/>
      <c r="G4" t="inlineStr"/>
      <c r="H4" t="inlineStr">
        <is>
          <t>FR</t>
        </is>
      </c>
    </row>
    <row r="6">
      <c r="A6" t="inlineStr">
        <is>
          <t>Notes: Use reference codes, never patient names. I1 counts filled slots. I2 counts opened slots not yet contacted. Illustrative rows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Reason code</t>
        </is>
      </c>
      <c r="B1" s="1" t="inlineStr">
        <is>
          <t>Meaning</t>
        </is>
      </c>
      <c r="C1" s="1" t="inlineStr">
        <is>
          <t>Count this month</t>
        </is>
      </c>
      <c r="D1" s="1" t="inlineStr">
        <is>
          <t>Share of no-shows</t>
        </is>
      </c>
      <c r="E1">
        <f>SUM(C2:C20)</f>
        <v/>
      </c>
    </row>
    <row r="2">
      <c r="A2" t="inlineStr">
        <is>
          <t>R1</t>
        </is>
      </c>
      <c r="B2" t="inlineStr">
        <is>
          <t>Forgot appointment</t>
        </is>
      </c>
      <c r="C2" t="n">
        <v>6</v>
      </c>
      <c r="D2">
        <f>IF($E$1=0,"",C2/$E$1)</f>
        <v/>
      </c>
    </row>
    <row r="3">
      <c r="A3" t="inlineStr">
        <is>
          <t>R2</t>
        </is>
      </c>
      <c r="B3" t="inlineStr">
        <is>
          <t>Transportation problem</t>
        </is>
      </c>
      <c r="C3" t="n">
        <v>3</v>
      </c>
      <c r="D3">
        <f>IF($E$1=0,"",C3/$E$1)</f>
        <v/>
      </c>
    </row>
    <row r="4">
      <c r="A4" t="inlineStr">
        <is>
          <t>R3</t>
        </is>
      </c>
      <c r="B4" t="inlineStr">
        <is>
          <t>Work or school conflict</t>
        </is>
      </c>
      <c r="C4" t="n">
        <v>4</v>
      </c>
      <c r="D4">
        <f>IF($E$1=0,"",C4/$E$1)</f>
        <v/>
      </c>
    </row>
    <row r="5">
      <c r="A5" t="inlineStr">
        <is>
          <t>R4</t>
        </is>
      </c>
      <c r="B5" t="inlineStr">
        <is>
          <t>Insurance or cost question</t>
        </is>
      </c>
      <c r="C5" t="n">
        <v>2</v>
      </c>
      <c r="D5">
        <f>IF($E$1=0,"",C5/$E$1)</f>
        <v/>
      </c>
    </row>
    <row r="6">
      <c r="A6" t="inlineStr">
        <is>
          <t>R5</t>
        </is>
      </c>
      <c r="B6" t="inlineStr">
        <is>
          <t>Feeling better or concern resolved</t>
        </is>
      </c>
      <c r="C6" t="n">
        <v>1</v>
      </c>
      <c r="D6">
        <f>IF($E$1=0,"",C6/$E$1)</f>
        <v/>
      </c>
    </row>
    <row r="7">
      <c r="A7" t="inlineStr">
        <is>
          <t>R6</t>
        </is>
      </c>
      <c r="B7" t="inlineStr">
        <is>
          <t>Other or unknown</t>
        </is>
      </c>
      <c r="C7" t="n">
        <v>3</v>
      </c>
      <c r="D7">
        <f>IF($E$1=0,"",C7/$E$1)</f>
        <v/>
      </c>
    </row>
    <row r="9">
      <c r="A9" t="inlineStr">
        <is>
          <t>Notes: Copy the D2 formula down for each reason row. E1 is the monthly total. Illustrative counts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Target week</t>
        </is>
      </c>
      <c r="E1" s="1" t="inlineStr">
        <is>
          <t>Done (Yes/No)</t>
        </is>
      </c>
      <c r="F1" s="1" t="inlineStr">
        <is>
          <t>Evidence</t>
        </is>
      </c>
      <c r="G1">
        <f>COUNTIF(E2:E40,"Yes")/COUNTA(E2:E40)</f>
        <v/>
      </c>
    </row>
    <row r="2">
      <c r="A2" t="inlineStr">
        <is>
          <t>Phase 1 setup</t>
        </is>
      </c>
      <c r="B2" t="inlineStr">
        <is>
          <t>Collect baseline no-show log for 2 weeks</t>
        </is>
      </c>
      <c r="C2" t="inlineStr">
        <is>
          <t>Office manager</t>
        </is>
      </c>
      <c r="D2" t="inlineStr">
        <is>
          <t>Week 1-2</t>
        </is>
      </c>
      <c r="E2" t="inlineStr">
        <is>
          <t>No</t>
        </is>
      </c>
      <c r="F2" t="inlineStr">
        <is>
          <t>Log sheet</t>
        </is>
      </c>
    </row>
    <row r="3">
      <c r="A3" t="inlineStr">
        <is>
          <t>Phase 1 setup</t>
        </is>
      </c>
      <c r="B3" t="inlineStr">
        <is>
          <t>Load message scripts into reminder system</t>
        </is>
      </c>
      <c r="C3" t="inlineStr">
        <is>
          <t>Front desk lead</t>
        </is>
      </c>
      <c r="D3" t="inlineStr">
        <is>
          <t>Week 2</t>
        </is>
      </c>
      <c r="E3" t="inlineStr">
        <is>
          <t>No</t>
        </is>
      </c>
      <c r="F3" t="inlineStr">
        <is>
          <t>System export</t>
        </is>
      </c>
    </row>
    <row r="4">
      <c r="A4" t="inlineStr">
        <is>
          <t>Phase 2 pilot</t>
        </is>
      </c>
      <c r="B4" t="inlineStr">
        <is>
          <t>Start 3-touch sequence for one provider</t>
        </is>
      </c>
      <c r="C4" t="inlineStr">
        <is>
          <t>Office manager</t>
        </is>
      </c>
      <c r="D4" t="inlineStr">
        <is>
          <t>Week 3-6</t>
        </is>
      </c>
      <c r="E4" t="inlineStr">
        <is>
          <t>No</t>
        </is>
      </c>
      <c r="F4" t="inlineStr">
        <is>
          <t>Tracker sheet</t>
        </is>
      </c>
    </row>
    <row r="5">
      <c r="A5" t="inlineStr">
        <is>
          <t>Phase 3 expand</t>
        </is>
      </c>
      <c r="B5" t="inlineStr">
        <is>
          <t>Add waitlist backfill routine</t>
        </is>
      </c>
      <c r="C5" t="inlineStr">
        <is>
          <t>Front desk lead</t>
        </is>
      </c>
      <c r="D5" t="inlineStr">
        <is>
          <t>Week 7-10</t>
        </is>
      </c>
      <c r="E5" t="inlineStr">
        <is>
          <t>No</t>
        </is>
      </c>
      <c r="F5" t="inlineStr">
        <is>
          <t>Waitlist log</t>
        </is>
      </c>
    </row>
    <row r="6">
      <c r="A6" t="inlineStr">
        <is>
          <t>Phase 3 expand</t>
        </is>
      </c>
      <c r="B6" t="inlineStr">
        <is>
          <t>Review reason codes and adjust send times</t>
        </is>
      </c>
      <c r="C6" t="inlineStr">
        <is>
          <t>Office manager</t>
        </is>
      </c>
      <c r="D6" t="inlineStr">
        <is>
          <t>Week 11-13</t>
        </is>
      </c>
      <c r="E6" t="inlineStr">
        <is>
          <t>No</t>
        </is>
      </c>
      <c r="F6" t="inlineStr">
        <is>
          <t>Summary sheet</t>
        </is>
      </c>
    </row>
    <row r="8">
      <c r="A8" t="inlineStr">
        <is>
          <t>Notes: G1 shows share complete. Work phases in order. Illustrative rows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2026-09-27T18:18:10Z</dcterms:created>
  <dcterms:modified xmlns:dcterms="http://purl.org/dc/terms/" xmlns:xsi="http://www.w3.org/2001/XMLSchema-instance" xsi:type="dcterms:W3CDTF">2026-09-27T18:18:10Z</dcterms:modified>
</cp:coreProperties>
</file>