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Q selector worksheet" sheetId="1" state="visible" r:id="rId1"/>
    <sheet xmlns:r="http://schemas.openxmlformats.org/officeDocument/2006/relationships" name="Scope inventory" sheetId="2" state="visible" r:id="rId2"/>
    <sheet xmlns:r="http://schemas.openxmlformats.org/officeDocument/2006/relationships" name="Readiness log" sheetId="3" state="visible" r:id="rId3"/>
    <sheet xmlns:r="http://schemas.openxmlformats.org/officeDocument/2006/relationships" name="Incident-plan checklist" sheetId="4" state="visible" r:id="rId4"/>
    <sheet xmlns:r="http://schemas.openxmlformats.org/officeDocument/2006/relationships" name="Renewal 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Step</t>
        </is>
      </c>
      <c r="B1" s="1" t="inlineStr">
        <is>
          <t>Question</t>
        </is>
      </c>
      <c r="C1" s="1" t="inlineStr">
        <is>
          <t>Your answer (Yes/No)</t>
        </is>
      </c>
      <c r="D1" s="1" t="inlineStr">
        <is>
          <t>If Yes go to</t>
        </is>
      </c>
      <c r="E1" s="1" t="inlineStr">
        <is>
          <t>If No go to</t>
        </is>
      </c>
      <c r="F1" s="1" t="inlineStr">
        <is>
          <t>Notes</t>
        </is>
      </c>
      <c r="G1">
        <f>COUNTA(C2:C20)</f>
        <v/>
      </c>
    </row>
    <row r="2">
      <c r="A2" t="inlineStr">
        <is>
          <t>1</t>
        </is>
      </c>
      <c r="B2" t="inlineStr">
        <is>
          <t>Do you handle card numbers on your own computers or network?</t>
        </is>
      </c>
      <c r="C2" t="inlineStr">
        <is>
          <t>No</t>
        </is>
      </c>
      <c r="D2" t="inlineStr">
        <is>
          <t>Step 3</t>
        </is>
      </c>
      <c r="E2" t="inlineStr">
        <is>
          <t>Step 2</t>
        </is>
      </c>
      <c r="F2" t="inlineStr">
        <is>
          <t>Illustrative row</t>
        </is>
      </c>
      <c r="G2">
        <f>COUNTIF(C2:C20,"Yes")</f>
        <v/>
      </c>
    </row>
    <row r="3">
      <c r="A3" t="inlineStr">
        <is>
          <t>2</t>
        </is>
      </c>
      <c r="B3" t="inlineStr">
        <is>
          <t>Do you use only a validated payment terminal supplied by your processor with no electronic card data stored?</t>
        </is>
      </c>
      <c r="C3" t="inlineStr">
        <is>
          <t>Yes</t>
        </is>
      </c>
      <c r="D3" t="inlineStr">
        <is>
          <t>Candidate path A</t>
        </is>
      </c>
      <c r="E3" t="inlineStr">
        <is>
          <t>Step 3</t>
        </is>
      </c>
      <c r="F3" t="inlineStr">
        <is>
          <t>Illustrative row</t>
        </is>
      </c>
    </row>
    <row r="4">
      <c r="A4" t="inlineStr">
        <is>
          <t>3</t>
        </is>
      </c>
      <c r="B4" t="inlineStr">
        <is>
          <t>Do card numbers pass through or get stored on your website server?</t>
        </is>
      </c>
      <c r="C4" t="inlineStr">
        <is>
          <t>No</t>
        </is>
      </c>
      <c r="D4" t="inlineStr">
        <is>
          <t>Candidate path B</t>
        </is>
      </c>
      <c r="E4" t="inlineStr">
        <is>
          <t>Step 4</t>
        </is>
      </c>
      <c r="F4" t="inlineStr">
        <is>
          <t>Illustrative row</t>
        </is>
      </c>
    </row>
    <row r="5">
      <c r="A5" t="inlineStr">
        <is>
          <t>4</t>
        </is>
      </c>
      <c r="B5" t="inlineStr">
        <is>
          <t>Did you record the answers with dates and who answered?</t>
        </is>
      </c>
      <c r="C5" t="inlineStr">
        <is>
          <t>Yes</t>
        </is>
      </c>
      <c r="D5" t="inlineStr">
        <is>
          <t>Done</t>
        </is>
      </c>
      <c r="E5" t="inlineStr">
        <is>
          <t>Repeat Step 4</t>
        </is>
      </c>
      <c r="F5" t="inlineStr">
        <is>
          <t>Illustrative row</t>
        </is>
      </c>
    </row>
    <row r="7">
      <c r="A7" t="inlineStr">
        <is>
          <t>Notes: Work through every step in order. The result is a candidate path to discuss with your acquirer, not a final determination. Illustrative example rows are marked as illustrative.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Location or device</t>
        </is>
      </c>
      <c r="B1" s="1" t="inlineStr">
        <is>
          <t>Card data present (Yes/No/Unknown)</t>
        </is>
      </c>
      <c r="C1" s="1" t="inlineStr">
        <is>
          <t>How cards are handled here</t>
        </is>
      </c>
      <c r="D1" s="1" t="inlineStr">
        <is>
          <t>Owner</t>
        </is>
      </c>
      <c r="E1" s="1" t="inlineStr">
        <is>
          <t>Keep, change, or remove</t>
        </is>
      </c>
      <c r="F1" s="1" t="inlineStr">
        <is>
          <t>Target date</t>
        </is>
      </c>
      <c r="G1" s="1" t="inlineStr">
        <is>
          <t>Done (Yes/No)</t>
        </is>
      </c>
      <c r="H1">
        <f>COUNTIF(B2:B50,"Unknown")</f>
        <v/>
      </c>
    </row>
    <row r="2">
      <c r="A2" t="inlineStr">
        <is>
          <t>Front counter terminal</t>
        </is>
      </c>
      <c r="B2" t="inlineStr">
        <is>
          <t>No</t>
        </is>
      </c>
      <c r="C2" t="inlineStr">
        <is>
          <t>Processor-supplied terminal, dial-out over phone line</t>
        </is>
      </c>
      <c r="D2" t="inlineStr">
        <is>
          <t>Owner</t>
        </is>
      </c>
      <c r="E2" t="inlineStr">
        <is>
          <t>Keep</t>
        </is>
      </c>
      <c r="F2" t="inlineStr">
        <is>
          <t>2026-10-15</t>
        </is>
      </c>
      <c r="G2" t="inlineStr">
        <is>
          <t>No</t>
        </is>
      </c>
      <c r="H2">
        <f>COUNTIF(G2:G50,"Yes")/COUNTA(G2:G50)</f>
        <v/>
      </c>
    </row>
    <row r="3">
      <c r="A3" t="inlineStr">
        <is>
          <t>Back-office PC</t>
        </is>
      </c>
      <c r="B3" t="inlineStr">
        <is>
          <t>Unknown</t>
        </is>
      </c>
      <c r="C3" t="inlineStr">
        <is>
          <t>Staff sometimes open emailed reports from processor</t>
        </is>
      </c>
      <c r="D3" t="inlineStr">
        <is>
          <t>Office manager</t>
        </is>
      </c>
      <c r="E3" t="inlineStr">
        <is>
          <t>Change</t>
        </is>
      </c>
      <c r="F3" t="inlineStr">
        <is>
          <t>2026-10-22</t>
        </is>
      </c>
      <c r="G3" t="inlineStr">
        <is>
          <t>No</t>
        </is>
      </c>
    </row>
    <row r="4">
      <c r="A4" t="inlineStr">
        <is>
          <t>Old laptop in storage</t>
        </is>
      </c>
      <c r="B4" t="inlineStr">
        <is>
          <t>Unknown</t>
        </is>
      </c>
      <c r="C4" t="inlineStr">
        <is>
          <t>Retired in 2024, drive not wiped per log</t>
        </is>
      </c>
      <c r="D4" t="inlineStr">
        <is>
          <t>Owner</t>
        </is>
      </c>
      <c r="E4" t="inlineStr">
        <is>
          <t>Remove</t>
        </is>
      </c>
      <c r="F4" t="inlineStr">
        <is>
          <t>2026-10-30</t>
        </is>
      </c>
      <c r="G4" t="inlineStr">
        <is>
          <t>No</t>
        </is>
      </c>
    </row>
    <row r="6">
      <c r="A6" t="inlineStr">
        <is>
          <t>Notes: List every place cards could be handled, including old devices and email inboxes. Unknown means investigate, not ignore. Illustrative rows are examples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Requirement reference</t>
        </is>
      </c>
      <c r="B1" s="1" t="inlineStr">
        <is>
          <t>Requirement summary in plain language</t>
        </is>
      </c>
      <c r="C1" s="1" t="inlineStr">
        <is>
          <t>Status (Not started/In progress/Ready for review/Confirmed)</t>
        </is>
      </c>
      <c r="D1" s="1" t="inlineStr">
        <is>
          <t>Evidence location</t>
        </is>
      </c>
      <c r="E1" s="1" t="inlineStr">
        <is>
          <t>Owner</t>
        </is>
      </c>
      <c r="F1" s="1" t="inlineStr">
        <is>
          <t>Date last checked</t>
        </is>
      </c>
      <c r="G1" s="1" t="inlineStr">
        <is>
          <t>Next check date</t>
        </is>
      </c>
      <c r="H1">
        <f>COUNTIF(C2:C100,"Confirmed")/COUNTA(C2:C100)</f>
        <v/>
      </c>
    </row>
    <row r="2">
      <c r="A2" t="inlineStr">
        <is>
          <t>Req-01</t>
        </is>
      </c>
      <c r="B2" t="inlineStr">
        <is>
          <t>Change default passwords on payment equipment</t>
        </is>
      </c>
      <c r="C2" t="inlineStr">
        <is>
          <t>In progress</t>
        </is>
      </c>
      <c r="D2" t="inlineStr">
        <is>
          <t>Terminal setup file, drawer 2</t>
        </is>
      </c>
      <c r="E2" t="inlineStr">
        <is>
          <t>Office manager</t>
        </is>
      </c>
      <c r="F2" t="inlineStr">
        <is>
          <t>2026-09-20</t>
        </is>
      </c>
      <c r="G2" t="inlineStr">
        <is>
          <t>2026-10-20</t>
        </is>
      </c>
      <c r="H2">
        <f>COUNTIF(C2:C100,"Not started")</f>
        <v/>
      </c>
    </row>
    <row r="3">
      <c r="A3" t="inlineStr">
        <is>
          <t>Req-02</t>
        </is>
      </c>
      <c r="B3" t="inlineStr">
        <is>
          <t>Limit who can access card handling areas</t>
        </is>
      </c>
      <c r="C3" t="inlineStr">
        <is>
          <t>Not started</t>
        </is>
      </c>
      <c r="D3" t="inlineStr">
        <is>
          <t>Door code list</t>
        </is>
      </c>
      <c r="E3" t="inlineStr">
        <is>
          <t>Owner</t>
        </is>
      </c>
      <c r="F3" t="inlineStr">
        <is>
          <t>2026-09-20</t>
        </is>
      </c>
      <c r="G3" t="inlineStr">
        <is>
          <t>2026-10-20</t>
        </is>
      </c>
    </row>
    <row r="4">
      <c r="A4" t="inlineStr">
        <is>
          <t>Req-03</t>
        </is>
      </c>
      <c r="B4" t="inlineStr">
        <is>
          <t>Review service provider list quarterly</t>
        </is>
      </c>
      <c r="C4" t="inlineStr">
        <is>
          <t>Not started</t>
        </is>
      </c>
      <c r="D4" t="inlineStr">
        <is>
          <t>Provider file</t>
        </is>
      </c>
      <c r="E4" t="inlineStr">
        <is>
          <t>Owner</t>
        </is>
      </c>
      <c r="F4" t="inlineStr">
        <is>
          <t>2026-09-20</t>
        </is>
      </c>
      <c r="G4" t="inlineStr">
        <is>
          <t>2026-12-20</t>
        </is>
      </c>
    </row>
    <row r="6">
      <c r="A6" t="inlineStr">
        <is>
          <t>Notes: Status values feed the summary formulas in H1 and H2. Confirmed means evidence was seen and filed, not that an outside party accepted it. Illustrative rows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Checklist item</t>
        </is>
      </c>
      <c r="B1" s="1" t="inlineStr">
        <is>
          <t>Done (Yes/No)</t>
        </is>
      </c>
      <c r="C1" s="1" t="inlineStr">
        <is>
          <t>Owner</t>
        </is>
      </c>
      <c r="D1" s="1" t="inlineStr">
        <is>
          <t>Date</t>
        </is>
      </c>
      <c r="E1" s="1" t="inlineStr">
        <is>
          <t>Evidence or file name</t>
        </is>
      </c>
      <c r="F1" s="1" t="inlineStr">
        <is>
          <t>Gap or follow-up</t>
        </is>
      </c>
      <c r="G1">
        <f>COUNTIF(B2:B40,"Yes")/COUNTA(B2:B40)</f>
        <v/>
      </c>
    </row>
    <row r="2">
      <c r="A2" t="inlineStr">
        <is>
          <t>Suspected card incident contact numbers posted at counter</t>
        </is>
      </c>
      <c r="B2" t="inlineStr">
        <is>
          <t>No</t>
        </is>
      </c>
      <c r="C2" t="inlineStr">
        <is>
          <t>Owner</t>
        </is>
      </c>
      <c r="D2" t="inlineStr"/>
      <c r="E2" t="inlineStr">
        <is>
          <t>To be printed</t>
        </is>
      </c>
      <c r="F2" t="inlineStr">
        <is>
          <t>Print and post by target date</t>
        </is>
      </c>
    </row>
    <row r="3">
      <c r="A3" t="inlineStr">
        <is>
          <t>Steps for isolating an affected terminal written down</t>
        </is>
      </c>
      <c r="B3" t="inlineStr">
        <is>
          <t>No</t>
        </is>
      </c>
      <c r="C3" t="inlineStr">
        <is>
          <t>Office manager</t>
        </is>
      </c>
      <c r="D3" t="inlineStr"/>
      <c r="E3" t="inlineStr">
        <is>
          <t>Template draft</t>
        </is>
      </c>
      <c r="F3" t="inlineStr">
        <is>
          <t>Complete draft review</t>
        </is>
      </c>
    </row>
    <row r="4">
      <c r="A4" t="inlineStr">
        <is>
          <t>Annual review of this plan scheduled</t>
        </is>
      </c>
      <c r="B4" t="inlineStr">
        <is>
          <t>No</t>
        </is>
      </c>
      <c r="C4" t="inlineStr">
        <is>
          <t>Owner</t>
        </is>
      </c>
      <c r="D4" t="inlineStr"/>
      <c r="E4" t="inlineStr">
        <is>
          <t>Calendar entry pending</t>
        </is>
      </c>
      <c r="F4" t="inlineStr">
        <is>
          <t>Add to renewal calendar</t>
        </is>
      </c>
    </row>
    <row r="6">
      <c r="A6" t="inlineStr">
        <is>
          <t>Notes: Tracks completion of the incident-response plan template. Each Yes should have a named evidence file. Illustrative rows only.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Task</t>
        </is>
      </c>
      <c r="B1" s="1" t="inlineStr">
        <is>
          <t>Frequency</t>
        </is>
      </c>
      <c r="C1" s="1" t="inlineStr">
        <is>
          <t>Last done</t>
        </is>
      </c>
      <c r="D1" s="1" t="inlineStr">
        <is>
          <t>Next due</t>
        </is>
      </c>
      <c r="E1" s="1" t="inlineStr">
        <is>
          <t>Owner</t>
        </is>
      </c>
      <c r="F1" s="1" t="inlineStr">
        <is>
          <t>Status (On time/Overdue/Not scheduled)</t>
        </is>
      </c>
      <c r="G1">
        <f>COUNTIF(F2:F30,"Overdue")</f>
        <v/>
      </c>
    </row>
    <row r="2">
      <c r="A2" t="inlineStr">
        <is>
          <t>Review SAQ path with acquirer</t>
        </is>
      </c>
      <c r="B2" t="inlineStr">
        <is>
          <t>Annual</t>
        </is>
      </c>
      <c r="C2" t="inlineStr">
        <is>
          <t>2026-03-01</t>
        </is>
      </c>
      <c r="D2" t="inlineStr">
        <is>
          <t>2027-03-01</t>
        </is>
      </c>
      <c r="E2" t="inlineStr">
        <is>
          <t>Owner</t>
        </is>
      </c>
      <c r="F2" t="inlineStr">
        <is>
          <t>On time</t>
        </is>
      </c>
      <c r="G2">
        <f>COUNTIF(F2:F30,"Not scheduled")</f>
        <v/>
      </c>
    </row>
    <row r="3">
      <c r="A3" t="inlineStr">
        <is>
          <t>Review service provider list</t>
        </is>
      </c>
      <c r="B3" t="inlineStr">
        <is>
          <t>Quarterly</t>
        </is>
      </c>
      <c r="C3" t="inlineStr">
        <is>
          <t>2026-09-01</t>
        </is>
      </c>
      <c r="D3" t="inlineStr">
        <is>
          <t>2026-12-01</t>
        </is>
      </c>
      <c r="E3" t="inlineStr">
        <is>
          <t>Office manager</t>
        </is>
      </c>
      <c r="F3" t="inlineStr">
        <is>
          <t>On time</t>
        </is>
      </c>
    </row>
    <row r="4">
      <c r="A4" t="inlineStr">
        <is>
          <t>Test incident contact list</t>
        </is>
      </c>
      <c r="B4" t="inlineStr">
        <is>
          <t>Semiannual</t>
        </is>
      </c>
      <c r="C4" t="inlineStr"/>
      <c r="D4" t="inlineStr">
        <is>
          <t>2026-10-15</t>
        </is>
      </c>
      <c r="E4" t="inlineStr">
        <is>
          <t>Owner</t>
        </is>
      </c>
      <c r="F4" t="inlineStr">
        <is>
          <t>Not scheduled</t>
        </is>
      </c>
    </row>
    <row r="5">
      <c r="A5" t="inlineStr">
        <is>
          <t>Renew attestation paperwork</t>
        </is>
      </c>
      <c r="B5" t="inlineStr">
        <is>
          <t>Annual</t>
        </is>
      </c>
      <c r="C5" t="inlineStr">
        <is>
          <t>2026-03-01</t>
        </is>
      </c>
      <c r="D5" t="inlineStr">
        <is>
          <t>2027-03-01</t>
        </is>
      </c>
      <c r="E5" t="inlineStr">
        <is>
          <t>Owner</t>
        </is>
      </c>
      <c r="F5" t="inlineStr">
        <is>
          <t>On time</t>
        </is>
      </c>
    </row>
    <row r="7">
      <c r="A7" t="inlineStr">
        <is>
          <t>Notes: Update Last done dates as tasks complete so Next due stays accurate. Overdue counts surface in G1. Illustrative rows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2026-09-27T18:18:09Z</dcterms:created>
  <dcterms:modified xmlns:dcterms="http://purl.org/dc/terms/" xmlns:xsi="http://www.w3.org/2001/XMLSchema-instance" xsi:type="dcterms:W3CDTF">2026-09-27T18:18:09Z</dcterms:modified>
</cp:coreProperties>
</file>