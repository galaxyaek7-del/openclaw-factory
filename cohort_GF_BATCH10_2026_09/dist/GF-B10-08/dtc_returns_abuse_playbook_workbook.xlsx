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 Case Log" sheetId="1" state="visible" r:id="rId1"/>
    <sheet xmlns:r="http://schemas.openxmlformats.org/officeDocument/2006/relationships" name="Customer Pattern Summary" sheetId="2" state="visible" r:id="rId2"/>
    <sheet xmlns:r="http://schemas.openxmlformats.org/officeDocument/2006/relationships" name="Policy Checklist Tracker" sheetId="3" state="visible" r:id="rId3"/>
    <sheet xmlns:r="http://schemas.openxmlformats.org/officeDocument/2006/relationships" name="Inspection Log" sheetId="4" state="visible" r:id="rId4"/>
    <sheet xmlns:r="http://schemas.openxmlformats.org/officeDocument/2006/relationships" name="Monthly Tuning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Case ID</t>
        </is>
      </c>
      <c r="B1" s="1" t="inlineStr">
        <is>
          <t>Date Received</t>
        </is>
      </c>
      <c r="C1" s="1" t="inlineStr">
        <is>
          <t>Account ID</t>
        </is>
      </c>
      <c r="D1" s="1" t="inlineStr">
        <is>
          <t>Order Ref</t>
        </is>
      </c>
      <c r="E1" s="1" t="inlineStr">
        <is>
          <t>Item and Value Tier</t>
        </is>
      </c>
      <c r="F1" s="1" t="inlineStr">
        <is>
          <t>Reason Primary</t>
        </is>
      </c>
      <c r="G1" s="1" t="inlineStr">
        <is>
          <t>Photo Status</t>
        </is>
      </c>
      <c r="H1" s="1" t="inlineStr">
        <is>
          <t>Inspection Result</t>
        </is>
      </c>
      <c r="I1" s="1" t="inlineStr">
        <is>
          <t>Case Points</t>
        </is>
      </c>
      <c r="J1" s="1" t="inlineStr">
        <is>
          <t>Account Points</t>
        </is>
      </c>
      <c r="K1" s="1" t="inlineStr">
        <is>
          <t>Total Score</t>
        </is>
      </c>
      <c r="L1" s="1" t="inlineStr">
        <is>
          <t>Threshold Flag</t>
        </is>
      </c>
      <c r="M1" s="1" t="inlineStr">
        <is>
          <t>Outcome</t>
        </is>
      </c>
      <c r="N1" s="1" t="inlineStr">
        <is>
          <t>Reviewer</t>
        </is>
      </c>
      <c r="O1" s="1" t="inlineStr">
        <is>
          <t>Notes</t>
        </is>
      </c>
    </row>
    <row r="2">
      <c r="A2" t="inlineStr">
        <is>
          <t>Illustrative case row 1</t>
        </is>
      </c>
      <c r="B2" t="inlineStr">
        <is>
          <t>Illustrative date</t>
        </is>
      </c>
      <c r="C2" t="inlineStr">
        <is>
          <t>Illustrative account</t>
        </is>
      </c>
      <c r="D2" t="inlineStr">
        <is>
          <t>Illustrative order ref</t>
        </is>
      </c>
      <c r="E2" t="inlineStr">
        <is>
          <t>Illustrative item tier</t>
        </is>
      </c>
      <c r="F2" t="inlineStr">
        <is>
          <t>Illustrative reason size or fit</t>
        </is>
      </c>
      <c r="G2" t="inlineStr">
        <is>
          <t>Not required</t>
        </is>
      </c>
      <c r="H2" t="inlineStr">
        <is>
          <t>Pass</t>
        </is>
      </c>
      <c r="I2" t="n">
        <v>2</v>
      </c>
      <c r="J2" t="n">
        <v>1</v>
      </c>
      <c r="K2">
        <f>I2+J2</f>
        <v/>
      </c>
      <c r="L2">
        <f>IF(K2&gt;=10,"Review",IF(K2&gt;=6,"Watch","Standard"))</f>
        <v/>
      </c>
      <c r="M2" t="inlineStr">
        <is>
          <t>Approve exchange</t>
        </is>
      </c>
      <c r="N2" t="inlineStr">
        <is>
          <t>Illustrative reviewer</t>
        </is>
      </c>
      <c r="O2" t="inlineStr">
        <is>
          <t>Illustrative note</t>
        </is>
      </c>
    </row>
    <row r="3">
      <c r="A3" t="inlineStr">
        <is>
          <t>Illustrative case row 2</t>
        </is>
      </c>
      <c r="B3" t="inlineStr">
        <is>
          <t>Illustrative date</t>
        </is>
      </c>
      <c r="C3" t="inlineStr">
        <is>
          <t>Illustrative account</t>
        </is>
      </c>
      <c r="D3" t="inlineStr">
        <is>
          <t>Illustrative order ref</t>
        </is>
      </c>
      <c r="E3" t="inlineStr">
        <is>
          <t>Illustrative item tier</t>
        </is>
      </c>
      <c r="F3" t="inlineStr">
        <is>
          <t>Illustrative reason damage claim</t>
        </is>
      </c>
      <c r="G3" t="inlineStr">
        <is>
          <t>Requested and received</t>
        </is>
      </c>
      <c r="H3" t="inlineStr">
        <is>
          <t>Flag</t>
        </is>
      </c>
      <c r="I3" t="n">
        <v>6</v>
      </c>
      <c r="J3" t="n">
        <v>5</v>
      </c>
      <c r="K3" t="n">
        <v>11</v>
      </c>
      <c r="L3" t="inlineStr">
        <is>
          <t>Review</t>
        </is>
      </c>
      <c r="M3" t="inlineStr">
        <is>
          <t>Warn with appeal</t>
        </is>
      </c>
      <c r="N3" t="inlineStr">
        <is>
          <t>Illustrative reviewer</t>
        </is>
      </c>
      <c r="O3" t="inlineStr">
        <is>
          <t>Illustrative note</t>
        </is>
      </c>
    </row>
    <row r="5">
      <c r="A5" t="inlineStr">
        <is>
          <t>Notes: One row per return. Scores compute by formula from case and account factors. Scores prioritize review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Account ID</t>
        </is>
      </c>
      <c r="B1" s="1" t="inlineStr">
        <is>
          <t>Cases in Window</t>
        </is>
      </c>
      <c r="C1" s="1" t="inlineStr">
        <is>
          <t>Repeat Top Reason Count</t>
        </is>
      </c>
      <c r="D1" s="1" t="inlineStr">
        <is>
          <t>Photo Compliance Rate</t>
        </is>
      </c>
      <c r="E1" s="1" t="inlineStr">
        <is>
          <t>Mismatch Rate</t>
        </is>
      </c>
      <c r="F1" s="1" t="inlineStr">
        <is>
          <t>Prior Warnings</t>
        </is>
      </c>
      <c r="G1" s="1" t="inlineStr">
        <is>
          <t>Pattern Score</t>
        </is>
      </c>
      <c r="H1" s="1" t="inlineStr">
        <is>
          <t>Notes</t>
        </is>
      </c>
    </row>
    <row r="2">
      <c r="A2" t="inlineStr">
        <is>
          <t>Illustrative account</t>
        </is>
      </c>
      <c r="B2" t="n">
        <v>3</v>
      </c>
      <c r="C2" t="n">
        <v>2</v>
      </c>
      <c r="D2" t="n">
        <v>0.67</v>
      </c>
      <c r="E2" t="n">
        <v>0.33</v>
      </c>
      <c r="F2" t="n">
        <v>1</v>
      </c>
      <c r="G2">
        <f>B2*1+D2*0+E2*5+F2*3</f>
        <v/>
      </c>
      <c r="H2" t="inlineStr">
        <is>
          <t>Illustrative pattern note</t>
        </is>
      </c>
    </row>
    <row r="4">
      <c r="A4" t="inlineStr">
        <is>
          <t>Notes: Aggregates cases per account for graduated decisions. Review frequency, repeats, and prior warnings together.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Policy Line</t>
        </is>
      </c>
      <c r="B1" s="1" t="inlineStr">
        <is>
          <t>Applies To Tier</t>
        </is>
      </c>
      <c r="C1" s="1" t="inlineStr">
        <is>
          <t>Case ID</t>
        </is>
      </c>
      <c r="D1" s="1" t="inlineStr">
        <is>
          <t>Met</t>
        </is>
      </c>
      <c r="E1" s="1" t="inlineStr">
        <is>
          <t>Evidence Ref</t>
        </is>
      </c>
      <c r="F1" s="1" t="inlineStr">
        <is>
          <t>Reviewer</t>
        </is>
      </c>
      <c r="G1" s="1" t="inlineStr">
        <is>
          <t>Date</t>
        </is>
      </c>
      <c r="H1" s="1" t="inlineStr">
        <is>
          <t>Notes</t>
        </is>
      </c>
    </row>
    <row r="2">
      <c r="A2" t="inlineStr">
        <is>
          <t>Illustrative policy line on photos</t>
        </is>
      </c>
      <c r="B2" t="inlineStr">
        <is>
          <t>Review tier</t>
        </is>
      </c>
      <c r="C2" t="inlineStr">
        <is>
          <t>Illustrative case</t>
        </is>
      </c>
      <c r="D2" t="inlineStr">
        <is>
          <t>Yes</t>
        </is>
      </c>
      <c r="E2" t="inlineStr">
        <is>
          <t>Illustrative photo ref</t>
        </is>
      </c>
      <c r="F2" t="inlineStr">
        <is>
          <t>Illustrative reviewer</t>
        </is>
      </c>
      <c r="G2" t="inlineStr">
        <is>
          <t>Illustrative date</t>
        </is>
      </c>
      <c r="H2" t="inlineStr">
        <is>
          <t>Illustrative note</t>
        </is>
      </c>
    </row>
    <row r="4">
      <c r="A4" t="inlineStr">
        <is>
          <t>Notes: Confirms each consequential step cites the policy line applied with evidence reference.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Case ID</t>
        </is>
      </c>
      <c r="B1" s="1" t="inlineStr">
        <is>
          <t>Item</t>
        </is>
      </c>
      <c r="C1" s="1" t="inlineStr">
        <is>
          <t>Seals and Tags</t>
        </is>
      </c>
      <c r="D1" s="1" t="inlineStr">
        <is>
          <t>Wear or Use Signs</t>
        </is>
      </c>
      <c r="E1" s="1" t="inlineStr">
        <is>
          <t>Parts and Match</t>
        </is>
      </c>
      <c r="F1" s="1" t="inlineStr">
        <is>
          <t>Packaging State</t>
        </is>
      </c>
      <c r="G1" s="1" t="inlineStr">
        <is>
          <t>Photos Attached</t>
        </is>
      </c>
      <c r="H1" s="1" t="inlineStr">
        <is>
          <t>Result</t>
        </is>
      </c>
      <c r="I1" s="1" t="inlineStr">
        <is>
          <t>Notes</t>
        </is>
      </c>
    </row>
    <row r="2">
      <c r="A2" t="inlineStr">
        <is>
          <t>Illustrative case</t>
        </is>
      </c>
      <c r="B2" t="inlineStr">
        <is>
          <t>Illustrative item</t>
        </is>
      </c>
      <c r="C2" t="inlineStr">
        <is>
          <t>Illustrative seals note</t>
        </is>
      </c>
      <c r="D2" t="inlineStr">
        <is>
          <t>Illustrative wear note</t>
        </is>
      </c>
      <c r="E2" t="inlineStr">
        <is>
          <t>Illustrative match note</t>
        </is>
      </c>
      <c r="F2" t="inlineStr">
        <is>
          <t>Illustrative packaging note</t>
        </is>
      </c>
      <c r="G2" t="inlineStr">
        <is>
          <t>Yes</t>
        </is>
      </c>
      <c r="H2" t="inlineStr">
        <is>
          <t>Flag</t>
        </is>
      </c>
      <c r="I2" t="inlineStr">
        <is>
          <t>Illustrative specifics with photo ref</t>
        </is>
      </c>
    </row>
    <row r="4">
      <c r="A4" t="inlineStr">
        <is>
          <t>Notes: Record observable facts with specifics. Vague notes are not sufficient for review or denial.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Month</t>
        </is>
      </c>
      <c r="B1" s="1" t="inlineStr">
        <is>
          <t>Cases Logged</t>
        </is>
      </c>
      <c r="C1" s="1" t="inlineStr">
        <is>
          <t>Reviews Triggered</t>
        </is>
      </c>
      <c r="D1" s="1" t="inlineStr">
        <is>
          <t>Warnings Sent</t>
        </is>
      </c>
      <c r="E1" s="1" t="inlineStr">
        <is>
          <t>Restrictions Applied</t>
        </is>
      </c>
      <c r="F1" s="1" t="inlineStr">
        <is>
          <t>Appeals Filed</t>
        </is>
      </c>
      <c r="G1" s="1" t="inlineStr">
        <is>
          <t>Appeals Reversed</t>
        </is>
      </c>
      <c r="H1" s="1" t="inlineStr">
        <is>
          <t>Notes</t>
        </is>
      </c>
    </row>
    <row r="2">
      <c r="A2" t="inlineStr">
        <is>
          <t>Illustrative month</t>
        </is>
      </c>
      <c r="B2" t="n">
        <v>40</v>
      </c>
      <c r="C2" t="n">
        <v>8</v>
      </c>
      <c r="D2" t="n">
        <v>3</v>
      </c>
      <c r="E2" t="n">
        <v>1</v>
      </c>
      <c r="F2" t="n">
        <v>1</v>
      </c>
      <c r="G2" t="n">
        <v>0</v>
      </c>
      <c r="H2" t="inlineStr">
        <is>
          <t>Illustrative tuning note</t>
        </is>
      </c>
    </row>
    <row r="14">
      <c r="B14">
        <f>SUM(B2:B13)</f>
        <v/>
      </c>
      <c r="C14">
        <f>SUM(C2:C13)</f>
        <v/>
      </c>
      <c r="G14">
        <f>IF(C14&gt;0,G14/C14,"Not computed")</f>
        <v/>
      </c>
    </row>
    <row r="16">
      <c r="A16" t="inlineStr">
        <is>
          <t>Notes: Summarizes reason mix, score bands, and outcome mix from logged rows with dated change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2026-09-27T18:18:12Z</dcterms:created>
  <dcterms:modified xmlns:dcterms="http://purl.org/dc/terms/" xmlns:xsi="http://www.w3.org/2001/XMLSchema-instance" xsi:type="dcterms:W3CDTF">2026-09-27T18:18:12Z</dcterms:modified>
</cp:coreProperties>
</file>