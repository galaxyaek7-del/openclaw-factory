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Cost Control" sheetId="3" state="visible" r:id="rId3"/>
    <sheet xmlns:r="http://schemas.openxmlformats.org/officeDocument/2006/relationships" name="Change Orders" sheetId="4" state="visible" r:id="rId4"/>
    <sheet xmlns:r="http://schemas.openxmlformats.org/officeDocument/2006/relationships" name="Allowances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Contingency" sheetId="7" state="visible" r:id="rId7"/>
    <sheet xmlns:r="http://schemas.openxmlformats.org/officeDocument/2006/relationships" name="Assumptions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"/>
    <numFmt numFmtId="166" formatCode="&quot;$&quot;#,##0"/>
    <numFmt numFmtId="167" formatCode="0.0%"/>
  </numFmts>
  <fonts count="8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  <color rgb="00FFFFFF"/>
      <sz val="11"/>
    </font>
    <font>
      <b val="1"/>
      <sz val="14"/>
    </font>
    <font>
      <i val="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0" pivotButton="0" quotePrefix="0" xfId="0"/>
    <xf numFmtId="166" fontId="0" fillId="3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0" pivotButton="0" quotePrefix="0" xfId="0"/>
    <xf numFmtId="166" fontId="0" fillId="4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6" fillId="0" borderId="0" pivotButton="0" quotePrefix="0" xfId="0"/>
    <xf numFmtId="167" fontId="0" fillId="4" borderId="0" pivotButton="0" quotePrefix="0" xfId="0"/>
    <xf numFmtId="1" fontId="0" fillId="4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Renovation Allowance &amp; Change-Order Control</t>
        </is>
      </c>
    </row>
    <row r="2"/>
    <row r="3">
      <c r="A3" s="2" t="inlineStr"/>
    </row>
    <row r="4">
      <c r="A4" s="2" t="inlineStr">
        <is>
          <t>This workbook answers one question your budget spreadsheet cannot: what will this project actually cost me, given what I have already signed and what I still owe back?</t>
        </is>
      </c>
    </row>
    <row r="5">
      <c r="A5" s="2" t="inlineStr"/>
    </row>
    <row r="6">
      <c r="A6" s="3" t="inlineStr">
        <is>
          <t>How to use it</t>
        </is>
      </c>
    </row>
    <row r="7">
      <c r="A7" s="2" t="inlineStr">
        <is>
          <t>1. Setup - project name, contingency reserve, currency. Ten minutes.</t>
        </is>
      </c>
    </row>
    <row r="8">
      <c r="A8" s="2" t="inlineStr">
        <is>
          <t>2. Cost Control - one row per budget line. Type the original budget and what you have signed. The rest is calculated.</t>
        </is>
      </c>
    </row>
    <row r="9">
      <c r="A9" s="2" t="inlineStr">
        <is>
          <t>3. Payments - every payment, one row. 'Paid to date' on Cost Control is summed from here, never typed.</t>
        </is>
      </c>
    </row>
    <row r="10">
      <c r="A10" s="2" t="inlineStr">
        <is>
          <t>4. Change Orders - every change with its own number. Only rows marked Approved count, and they raise the revised budget automatically.</t>
        </is>
      </c>
    </row>
    <row r="11">
      <c r="A11" s="2" t="inlineStr">
        <is>
          <t>5. Allowances - items priced as a spending allowance before the actual product is chosen (tile, lighting, counters). This sheet is where silent overruns and forgotten credits show up.</t>
        </is>
      </c>
    </row>
    <row r="12">
      <c r="A12" s="2" t="inlineStr">
        <is>
          <t>6. Contingency - the reserve and what has been drawn from it. It is not a slush fund.</t>
        </is>
      </c>
    </row>
    <row r="13">
      <c r="A13" s="2" t="inlineStr">
        <is>
          <t>7. Summary - the four numbers that matter, plus checks that tell you what to fix.</t>
        </is>
      </c>
    </row>
    <row r="14">
      <c r="A14" s="2" t="inlineStr">
        <is>
          <t>8. Assumptions - write down what is excluded. An estimate is only honest with its exclusions next to it.</t>
        </is>
      </c>
    </row>
    <row r="15">
      <c r="A15" s="2" t="inlineStr"/>
    </row>
    <row r="16">
      <c r="A16" s="3" t="inlineStr">
        <is>
          <t>Colour code</t>
        </is>
      </c>
    </row>
    <row r="17">
      <c r="A17" s="2" t="inlineStr">
        <is>
          <t>White cells: you fill them in. Blue cells: calculated - do not overwrite. Yellow rows: EXAMPLE data - overwrite or delete them.</t>
        </is>
      </c>
    </row>
    <row r="18">
      <c r="A18" s="2" t="inlineStr"/>
    </row>
    <row r="19">
      <c r="A19" s="3" t="inlineStr">
        <is>
          <t>What this workbook is not</t>
        </is>
      </c>
    </row>
    <row r="20">
      <c r="A20" s="2" t="inlineStr">
        <is>
          <t>It is not legal, tax or financial advice, and it does not replace your contract. Allowance, change-order and payment terms are governed by the contract you signed - check it, and check with a qualified professional where the stakes justify it.</t>
        </is>
      </c>
    </row>
    <row r="21">
      <c r="A21" s="2" t="inlineStr"/>
    </row>
    <row r="22">
      <c r="A22" s="3" t="inlineStr">
        <is>
          <t>A note on the example numbers</t>
        </is>
      </c>
    </row>
    <row r="23">
      <c r="A23" s="2" t="inlineStr">
        <is>
          <t>The yellow rows describe a $45,000 kitchen renovation that ends up projected $6,500 over its revised budget. The guide walks through exactly those numbers. Delete the examples once you understand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78" customWidth="1" min="3" max="3"/>
  </cols>
  <sheetData>
    <row r="1">
      <c r="A1" s="4" t="inlineStr">
        <is>
          <t>Setting</t>
        </is>
      </c>
      <c r="B1" s="4" t="inlineStr">
        <is>
          <t>Your value</t>
        </is>
      </c>
      <c r="C1" s="4" t="inlineStr">
        <is>
          <t>Notes</t>
        </is>
      </c>
    </row>
    <row r="2">
      <c r="A2" s="5" t="inlineStr">
        <is>
          <t>Project name</t>
        </is>
      </c>
      <c r="B2" s="5" t="inlineStr">
        <is>
          <t>Kitchen renovation (EXAMPLE)</t>
        </is>
      </c>
      <c r="C2" s="5" t="inlineStr">
        <is>
          <t>Anything you will recognise later</t>
        </is>
      </c>
    </row>
    <row r="3">
      <c r="A3" s="5" t="inlineStr">
        <is>
          <t>Property address</t>
        </is>
      </c>
      <c r="B3" s="5" t="inlineStr"/>
      <c r="C3" s="5" t="inlineStr">
        <is>
          <t>Optional</t>
        </is>
      </c>
    </row>
    <row r="4">
      <c r="A4" s="5" t="inlineStr">
        <is>
          <t>Currency symbol</t>
        </is>
      </c>
      <c r="B4" s="5" t="inlineStr">
        <is>
          <t>$</t>
        </is>
      </c>
      <c r="C4" s="5" t="inlineStr">
        <is>
          <t>Used in the labels only</t>
        </is>
      </c>
    </row>
    <row r="5">
      <c r="A5" s="5" t="inlineStr">
        <is>
          <t>Contingency reserve (USD)</t>
        </is>
      </c>
      <c r="B5" s="6" t="n">
        <v>4500</v>
      </c>
      <c r="C5" s="5" t="inlineStr">
        <is>
          <t>EXAMPLE: 10% of a $45,000 line budget. Research puts 10-20% as a floor and 25-30% for structural work.</t>
        </is>
      </c>
    </row>
    <row r="6">
      <c r="A6" s="5" t="inlineStr">
        <is>
          <t>Today's date</t>
        </is>
      </c>
      <c r="B6" s="7" t="inlineStr">
        <is>
          <t>2026-06-20</t>
        </is>
      </c>
      <c r="C6" s="5" t="inlineStr">
        <is>
          <t>Update when you review the sheet</t>
        </is>
      </c>
    </row>
    <row r="7">
      <c r="A7" s="5" t="inlineStr">
        <is>
          <t>Who approves change orders</t>
        </is>
      </c>
      <c r="B7" s="5" t="inlineStr">
        <is>
          <t>Owner</t>
        </is>
      </c>
      <c r="C7" s="5" t="inlineStr">
        <is>
          <t>Write the name, not the role, if more than one person can approve</t>
        </is>
      </c>
    </row>
    <row r="8">
      <c r="A8" s="5" t="inlineStr">
        <is>
          <t>Who approves contingency draws</t>
        </is>
      </c>
      <c r="B8" s="5" t="inlineStr">
        <is>
          <t>Owner</t>
        </is>
      </c>
      <c r="C8" s="5" t="inlineStr">
        <is>
          <t>Same: a name</t>
        </is>
      </c>
    </row>
    <row r="9">
      <c r="A9" s="5" t="inlineStr">
        <is>
          <t>Review cadence</t>
        </is>
      </c>
      <c r="B9" s="8" t="inlineStr">
        <is>
          <t>Monthly, plus after every signed change order</t>
        </is>
      </c>
      <c r="C9" s="5" t="inlineStr">
        <is>
          <t>The review is what makes the numbers true</t>
        </is>
      </c>
    </row>
    <row r="10">
      <c r="B10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6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4" customWidth="1" min="9" max="9"/>
    <col width="15" customWidth="1" min="10" max="10"/>
    <col width="17" customWidth="1" min="11" max="11"/>
    <col width="15" customWidth="1" min="12" max="12"/>
    <col width="16" customWidth="1" min="13" max="13"/>
    <col width="12" customWidth="1" min="14" max="14"/>
  </cols>
  <sheetData>
    <row r="1">
      <c r="A1" s="4" t="inlineStr">
        <is>
          <t>Line</t>
        </is>
      </c>
      <c r="B1" s="4" t="inlineStr">
        <is>
          <t>Category</t>
        </is>
      </c>
      <c r="C1" s="4" t="inlineStr">
        <is>
          <t>What it covers</t>
        </is>
      </c>
      <c r="D1" s="4" t="inlineStr">
        <is>
          <t>Original budget</t>
        </is>
      </c>
      <c r="E1" s="4" t="inlineStr">
        <is>
          <t>Original committed</t>
        </is>
      </c>
      <c r="F1" s="4" t="inlineStr">
        <is>
          <t>Approved changes</t>
        </is>
      </c>
      <c r="G1" s="4" t="inlineStr">
        <is>
          <t>Revised budget</t>
        </is>
      </c>
      <c r="H1" s="4" t="inlineStr">
        <is>
          <t>Committed total</t>
        </is>
      </c>
      <c r="I1" s="4" t="inlineStr">
        <is>
          <t>Paid to date</t>
        </is>
      </c>
      <c r="J1" s="4" t="inlineStr">
        <is>
          <t>Unpaid committed</t>
        </is>
      </c>
      <c r="K1" s="4" t="inlineStr">
        <is>
          <t>Forecast to complete</t>
        </is>
      </c>
      <c r="L1" s="4" t="inlineStr">
        <is>
          <t>Projected final</t>
        </is>
      </c>
      <c r="M1" s="4" t="inlineStr">
        <is>
          <t>Variance vs revised</t>
        </is>
      </c>
      <c r="N1" s="4" t="inlineStr">
        <is>
          <t>Status</t>
        </is>
      </c>
    </row>
    <row r="2">
      <c r="A2" s="8" t="inlineStr">
        <is>
          <t>K-01</t>
        </is>
      </c>
      <c r="B2" s="8" t="inlineStr">
        <is>
          <t>Demolition</t>
        </is>
      </c>
      <c r="C2" s="8" t="inlineStr">
        <is>
          <t>Strip kitchen, remove a non-load-bearing partition</t>
        </is>
      </c>
      <c r="D2" s="10" t="n">
        <v>3000</v>
      </c>
      <c r="E2" s="10" t="n">
        <v>2800</v>
      </c>
      <c r="F2" s="11">
        <f>IF($A2="","",SUMIF('Change Orders'!$C$2:$C$21,$A2,'Change Orders'!$G$2:$G$21))</f>
        <v/>
      </c>
      <c r="G2" s="11">
        <f>IF($A2="","",N($D2)+N($F2))</f>
        <v/>
      </c>
      <c r="H2" s="11">
        <f>IF($A2="","",N($E2)+N($F2))</f>
        <v/>
      </c>
      <c r="I2" s="11">
        <f>IF($A2="","",SUMIF(Payments!$B$2:$B$31,$A2,Payments!$D$2:$D$31))</f>
        <v/>
      </c>
      <c r="J2" s="11">
        <f>IF($A2="","",MAX(0,N($H2)-N($I2)))</f>
        <v/>
      </c>
      <c r="K2" s="10" t="n">
        <v>0</v>
      </c>
      <c r="L2" s="11">
        <f>IF($A2="","",N($I2)+N($J2)+N($K2))</f>
        <v/>
      </c>
      <c r="M2" s="11">
        <f>IF($A2="","",N($G2)-N($L2))</f>
        <v/>
      </c>
      <c r="N2" s="11">
        <f>IF($A2="","",IF(N($L2)&gt;N($G2),"OVER",IF(N($L2)=N($G2),"ON PLAN","UNDER")))</f>
        <v/>
      </c>
    </row>
    <row r="3">
      <c r="A3" s="8" t="inlineStr">
        <is>
          <t>K-02</t>
        </is>
      </c>
      <c r="B3" s="8" t="inlineStr">
        <is>
          <t>Millwork</t>
        </is>
      </c>
      <c r="C3" s="8" t="inlineStr">
        <is>
          <t>Cabinet package, delivered and installed</t>
        </is>
      </c>
      <c r="D3" s="10" t="n">
        <v>12000</v>
      </c>
      <c r="E3" s="10" t="n">
        <v>12500</v>
      </c>
      <c r="F3" s="11">
        <f>IF($A3="","",SUMIF('Change Orders'!$C$2:$C$21,$A3,'Change Orders'!$G$2:$G$21))</f>
        <v/>
      </c>
      <c r="G3" s="11">
        <f>IF($A3="","",N($D3)+N($F3))</f>
        <v/>
      </c>
      <c r="H3" s="11">
        <f>IF($A3="","",N($E3)+N($F3))</f>
        <v/>
      </c>
      <c r="I3" s="11">
        <f>IF($A3="","",SUMIF(Payments!$B$2:$B$31,$A3,Payments!$D$2:$D$31))</f>
        <v/>
      </c>
      <c r="J3" s="11">
        <f>IF($A3="","",MAX(0,N($H3)-N($I3)))</f>
        <v/>
      </c>
      <c r="K3" s="10" t="n">
        <v>0</v>
      </c>
      <c r="L3" s="11">
        <f>IF($A3="","",N($I3)+N($J3)+N($K3))</f>
        <v/>
      </c>
      <c r="M3" s="11">
        <f>IF($A3="","",N($G3)-N($L3))</f>
        <v/>
      </c>
      <c r="N3" s="11">
        <f>IF($A3="","",IF(N($L3)&gt;N($G3),"OVER",IF(N($L3)=N($G3),"ON PLAN","UNDER")))</f>
        <v/>
      </c>
    </row>
    <row r="4">
      <c r="A4" s="8" t="inlineStr">
        <is>
          <t>K-03</t>
        </is>
      </c>
      <c r="B4" s="8" t="inlineStr">
        <is>
          <t>Surfaces</t>
        </is>
      </c>
      <c r="C4" s="8" t="inlineStr">
        <is>
          <t>Countertop allowance, made when the slab was chosen</t>
        </is>
      </c>
      <c r="D4" s="10" t="n">
        <v>7500</v>
      </c>
      <c r="E4" s="10" t="n">
        <v>7500</v>
      </c>
      <c r="F4" s="11">
        <f>IF($A4="","",SUMIF('Change Orders'!$C$2:$C$21,$A4,'Change Orders'!$G$2:$G$21))</f>
        <v/>
      </c>
      <c r="G4" s="11">
        <f>IF($A4="","",N($D4)+N($F4))</f>
        <v/>
      </c>
      <c r="H4" s="11">
        <f>IF($A4="","",N($E4)+N($F4))</f>
        <v/>
      </c>
      <c r="I4" s="11">
        <f>IF($A4="","",SUMIF(Payments!$B$2:$B$31,$A4,Payments!$D$2:$D$31))</f>
        <v/>
      </c>
      <c r="J4" s="11">
        <f>IF($A4="","",MAX(0,N($H4)-N($I4)))</f>
        <v/>
      </c>
      <c r="K4" s="10" t="n">
        <v>0</v>
      </c>
      <c r="L4" s="11">
        <f>IF($A4="","",N($I4)+N($J4)+N($K4))</f>
        <v/>
      </c>
      <c r="M4" s="11">
        <f>IF($A4="","",N($G4)-N($L4))</f>
        <v/>
      </c>
      <c r="N4" s="11">
        <f>IF($A4="","",IF(N($L4)&gt;N($G4),"OVER",IF(N($L4)=N($G4),"ON PLAN","UNDER")))</f>
        <v/>
      </c>
    </row>
    <row r="5">
      <c r="A5" s="8" t="inlineStr">
        <is>
          <t>K-04</t>
        </is>
      </c>
      <c r="B5" s="8" t="inlineStr">
        <is>
          <t>Tile &amp; flooring</t>
        </is>
      </c>
      <c r="C5" s="8" t="inlineStr">
        <is>
          <t>Floor tile plus installation labour</t>
        </is>
      </c>
      <c r="D5" s="10" t="n">
        <v>6000</v>
      </c>
      <c r="E5" s="10" t="n">
        <v>5900</v>
      </c>
      <c r="F5" s="11">
        <f>IF($A5="","",SUMIF('Change Orders'!$C$2:$C$21,$A5,'Change Orders'!$G$2:$G$21))</f>
        <v/>
      </c>
      <c r="G5" s="11">
        <f>IF($A5="","",N($D5)+N($F5))</f>
        <v/>
      </c>
      <c r="H5" s="11">
        <f>IF($A5="","",N($E5)+N($F5))</f>
        <v/>
      </c>
      <c r="I5" s="11">
        <f>IF($A5="","",SUMIF(Payments!$B$2:$B$31,$A5,Payments!$D$2:$D$31))</f>
        <v/>
      </c>
      <c r="J5" s="11">
        <f>IF($A5="","",MAX(0,N($H5)-N($I5)))</f>
        <v/>
      </c>
      <c r="K5" s="10" t="n">
        <v>550</v>
      </c>
      <c r="L5" s="11">
        <f>IF($A5="","",N($I5)+N($J5)+N($K5))</f>
        <v/>
      </c>
      <c r="M5" s="11">
        <f>IF($A5="","",N($G5)-N($L5))</f>
        <v/>
      </c>
      <c r="N5" s="11">
        <f>IF($A5="","",IF(N($L5)&gt;N($G5),"OVER",IF(N($L5)=N($G5),"ON PLAN","UNDER")))</f>
        <v/>
      </c>
    </row>
    <row r="6">
      <c r="A6" s="8" t="inlineStr">
        <is>
          <t>K-05</t>
        </is>
      </c>
      <c r="B6" s="8" t="inlineStr">
        <is>
          <t>Electrical</t>
        </is>
      </c>
      <c r="C6" s="8" t="inlineStr">
        <is>
          <t>Rewire, plus one added circuit (change order)</t>
        </is>
      </c>
      <c r="D6" s="10" t="n">
        <v>4500</v>
      </c>
      <c r="E6" s="10" t="n">
        <v>4800</v>
      </c>
      <c r="F6" s="11">
        <f>IF($A6="","",SUMIF('Change Orders'!$C$2:$C$21,$A6,'Change Orders'!$G$2:$G$21))</f>
        <v/>
      </c>
      <c r="G6" s="11">
        <f>IF($A6="","",N($D6)+N($F6))</f>
        <v/>
      </c>
      <c r="H6" s="11">
        <f>IF($A6="","",N($E6)+N($F6))</f>
        <v/>
      </c>
      <c r="I6" s="11">
        <f>IF($A6="","",SUMIF(Payments!$B$2:$B$31,$A6,Payments!$D$2:$D$31))</f>
        <v/>
      </c>
      <c r="J6" s="11">
        <f>IF($A6="","",MAX(0,N($H6)-N($I6)))</f>
        <v/>
      </c>
      <c r="K6" s="10" t="n">
        <v>0</v>
      </c>
      <c r="L6" s="11">
        <f>IF($A6="","",N($I6)+N($J6)+N($K6))</f>
        <v/>
      </c>
      <c r="M6" s="11">
        <f>IF($A6="","",N($G6)-N($L6))</f>
        <v/>
      </c>
      <c r="N6" s="11">
        <f>IF($A6="","",IF(N($L6)&gt;N($G6),"OVER",IF(N($L6)=N($G6),"ON PLAN","UNDER")))</f>
        <v/>
      </c>
    </row>
    <row r="7">
      <c r="A7" s="8" t="inlineStr">
        <is>
          <t>K-06</t>
        </is>
      </c>
      <c r="B7" s="8" t="inlineStr">
        <is>
          <t>Paint &amp; finish</t>
        </is>
      </c>
      <c r="C7" s="8" t="inlineStr">
        <is>
          <t>Painting and trim, not yet contracted</t>
        </is>
      </c>
      <c r="D7" s="10" t="n">
        <v>3000</v>
      </c>
      <c r="E7" s="10" t="n">
        <v>0</v>
      </c>
      <c r="F7" s="11">
        <f>IF($A7="","",SUMIF('Change Orders'!$C$2:$C$21,$A7,'Change Orders'!$G$2:$G$21))</f>
        <v/>
      </c>
      <c r="G7" s="11">
        <f>IF($A7="","",N($D7)+N($F7))</f>
        <v/>
      </c>
      <c r="H7" s="11">
        <f>IF($A7="","",N($E7)+N($F7))</f>
        <v/>
      </c>
      <c r="I7" s="11">
        <f>IF($A7="","",SUMIF(Payments!$B$2:$B$31,$A7,Payments!$D$2:$D$31))</f>
        <v/>
      </c>
      <c r="J7" s="11">
        <f>IF($A7="","",MAX(0,N($H7)-N($I7)))</f>
        <v/>
      </c>
      <c r="K7" s="10" t="n">
        <v>3750</v>
      </c>
      <c r="L7" s="11">
        <f>IF($A7="","",N($I7)+N($J7)+N($K7))</f>
        <v/>
      </c>
      <c r="M7" s="11">
        <f>IF($A7="","",N($G7)-N($L7))</f>
        <v/>
      </c>
      <c r="N7" s="11">
        <f>IF($A7="","",IF(N($L7)&gt;N($G7),"OVER",IF(N($L7)=N($G7),"ON PLAN","UNDER")))</f>
        <v/>
      </c>
    </row>
    <row r="8">
      <c r="A8" s="8" t="inlineStr">
        <is>
          <t>K-07</t>
        </is>
      </c>
      <c r="B8" s="8" t="inlineStr">
        <is>
          <t>Design &amp; permits</t>
        </is>
      </c>
      <c r="C8" s="8" t="inlineStr">
        <is>
          <t>Design fee and building permit</t>
        </is>
      </c>
      <c r="D8" s="10" t="n">
        <v>1200</v>
      </c>
      <c r="E8" s="10" t="n">
        <v>1200</v>
      </c>
      <c r="F8" s="11">
        <f>IF($A8="","",SUMIF('Change Orders'!$C$2:$C$21,$A8,'Change Orders'!$G$2:$G$21))</f>
        <v/>
      </c>
      <c r="G8" s="11">
        <f>IF($A8="","",N($D8)+N($F8))</f>
        <v/>
      </c>
      <c r="H8" s="11">
        <f>IF($A8="","",N($E8)+N($F8))</f>
        <v/>
      </c>
      <c r="I8" s="11">
        <f>IF($A8="","",SUMIF(Payments!$B$2:$B$31,$A8,Payments!$D$2:$D$31))</f>
        <v/>
      </c>
      <c r="J8" s="11">
        <f>IF($A8="","",MAX(0,N($H8)-N($I8)))</f>
        <v/>
      </c>
      <c r="K8" s="10" t="n">
        <v>0</v>
      </c>
      <c r="L8" s="11">
        <f>IF($A8="","",N($I8)+N($J8)+N($K8))</f>
        <v/>
      </c>
      <c r="M8" s="11">
        <f>IF($A8="","",N($G8)-N($L8))</f>
        <v/>
      </c>
      <c r="N8" s="11">
        <f>IF($A8="","",IF(N($L8)&gt;N($G8),"OVER",IF(N($L8)=N($G8),"ON PLAN","UNDER")))</f>
        <v/>
      </c>
    </row>
    <row r="9">
      <c r="A9" s="8" t="inlineStr">
        <is>
          <t>K-08</t>
        </is>
      </c>
      <c r="B9" s="8" t="inlineStr">
        <is>
          <t>Appliances</t>
        </is>
      </c>
      <c r="C9" s="8" t="inlineStr">
        <is>
          <t>Range, hood, dishwasher - not ordered yet</t>
        </is>
      </c>
      <c r="D9" s="10" t="n">
        <v>5000</v>
      </c>
      <c r="E9" s="10" t="n">
        <v>0</v>
      </c>
      <c r="F9" s="11">
        <f>IF($A9="","",SUMIF('Change Orders'!$C$2:$C$21,$A9,'Change Orders'!$G$2:$G$21))</f>
        <v/>
      </c>
      <c r="G9" s="11">
        <f>IF($A9="","",N($D9)+N($F9))</f>
        <v/>
      </c>
      <c r="H9" s="11">
        <f>IF($A9="","",N($E9)+N($F9))</f>
        <v/>
      </c>
      <c r="I9" s="11">
        <f>IF($A9="","",SUMIF(Payments!$B$2:$B$31,$A9,Payments!$D$2:$D$31))</f>
        <v/>
      </c>
      <c r="J9" s="11">
        <f>IF($A9="","",MAX(0,N($H9)-N($I9)))</f>
        <v/>
      </c>
      <c r="K9" s="10" t="n">
        <v>5600</v>
      </c>
      <c r="L9" s="11">
        <f>IF($A9="","",N($I9)+N($J9)+N($K9))</f>
        <v/>
      </c>
      <c r="M9" s="11">
        <f>IF($A9="","",N($G9)-N($L9))</f>
        <v/>
      </c>
      <c r="N9" s="11">
        <f>IF($A9="","",IF(N($L9)&gt;N($G9),"OVER",IF(N($L9)=N($G9),"ON PLAN","UNDER")))</f>
        <v/>
      </c>
    </row>
    <row r="10">
      <c r="A10" s="8" t="inlineStr">
        <is>
          <t>K-09</t>
        </is>
      </c>
      <c r="B10" s="8" t="inlineStr">
        <is>
          <t>Other</t>
        </is>
      </c>
      <c r="C10" s="8" t="inlineStr">
        <is>
          <t>Project management fee</t>
        </is>
      </c>
      <c r="D10" s="10" t="n">
        <v>2800</v>
      </c>
      <c r="E10" s="10" t="n">
        <v>2800</v>
      </c>
      <c r="F10" s="11">
        <f>IF($A10="","",SUMIF('Change Orders'!$C$2:$C$21,$A10,'Change Orders'!$G$2:$G$21))</f>
        <v/>
      </c>
      <c r="G10" s="11">
        <f>IF($A10="","",N($D10)+N($F10))</f>
        <v/>
      </c>
      <c r="H10" s="11">
        <f>IF($A10="","",N($E10)+N($F10))</f>
        <v/>
      </c>
      <c r="I10" s="11">
        <f>IF($A10="","",SUMIF(Payments!$B$2:$B$31,$A10,Payments!$D$2:$D$31))</f>
        <v/>
      </c>
      <c r="J10" s="11">
        <f>IF($A10="","",MAX(0,N($H10)-N($I10)))</f>
        <v/>
      </c>
      <c r="K10" s="10" t="n">
        <v>0</v>
      </c>
      <c r="L10" s="11">
        <f>IF($A10="","",N($I10)+N($J10)+N($K10))</f>
        <v/>
      </c>
      <c r="M10" s="11">
        <f>IF($A10="","",N($G10)-N($L10))</f>
        <v/>
      </c>
      <c r="N10" s="11">
        <f>IF($A10="","",IF(N($L10)&gt;N($G10),"OVER",IF(N($L10)=N($G10),"ON PLAN","UNDER")))</f>
        <v/>
      </c>
    </row>
    <row r="11">
      <c r="A11" s="5" t="n"/>
      <c r="B11" s="5" t="n"/>
      <c r="C11" s="5" t="n"/>
      <c r="D11" s="12" t="n"/>
      <c r="E11" s="12" t="n"/>
      <c r="F11" s="11">
        <f>IF($A11="","",SUMIF('Change Orders'!$C$2:$C$21,$A11,'Change Orders'!$G$2:$G$21))</f>
        <v/>
      </c>
      <c r="G11" s="11">
        <f>IF($A11="","",N($D11)+N($F11))</f>
        <v/>
      </c>
      <c r="H11" s="11">
        <f>IF($A11="","",N($E11)+N($F11))</f>
        <v/>
      </c>
      <c r="I11" s="11">
        <f>IF($A11="","",SUMIF(Payments!$B$2:$B$31,$A11,Payments!$D$2:$D$31))</f>
        <v/>
      </c>
      <c r="J11" s="11">
        <f>IF($A11="","",MAX(0,N($H11)-N($I11)))</f>
        <v/>
      </c>
      <c r="K11" s="12" t="n"/>
      <c r="L11" s="11">
        <f>IF($A11="","",N($I11)+N($J11)+N($K11))</f>
        <v/>
      </c>
      <c r="M11" s="11">
        <f>IF($A11="","",N($G11)-N($L11))</f>
        <v/>
      </c>
      <c r="N11" s="11">
        <f>IF($A11="","",IF(N($L11)&gt;N($G11),"OVER",IF(N($L11)=N($G11),"ON PLAN","UNDER")))</f>
        <v/>
      </c>
    </row>
    <row r="12">
      <c r="A12" s="5" t="n"/>
      <c r="B12" s="5" t="n"/>
      <c r="C12" s="5" t="n"/>
      <c r="D12" s="12" t="n"/>
      <c r="E12" s="12" t="n"/>
      <c r="F12" s="11">
        <f>IF($A12="","",SUMIF('Change Orders'!$C$2:$C$21,$A12,'Change Orders'!$G$2:$G$21))</f>
        <v/>
      </c>
      <c r="G12" s="11">
        <f>IF($A12="","",N($D12)+N($F12))</f>
        <v/>
      </c>
      <c r="H12" s="11">
        <f>IF($A12="","",N($E12)+N($F12))</f>
        <v/>
      </c>
      <c r="I12" s="11">
        <f>IF($A12="","",SUMIF(Payments!$B$2:$B$31,$A12,Payments!$D$2:$D$31))</f>
        <v/>
      </c>
      <c r="J12" s="11">
        <f>IF($A12="","",MAX(0,N($H12)-N($I12)))</f>
        <v/>
      </c>
      <c r="K12" s="12" t="n"/>
      <c r="L12" s="11">
        <f>IF($A12="","",N($I12)+N($J12)+N($K12))</f>
        <v/>
      </c>
      <c r="M12" s="11">
        <f>IF($A12="","",N($G12)-N($L12))</f>
        <v/>
      </c>
      <c r="N12" s="11">
        <f>IF($A12="","",IF(N($L12)&gt;N($G12),"OVER",IF(N($L12)=N($G12),"ON PLAN","UNDER")))</f>
        <v/>
      </c>
    </row>
    <row r="13">
      <c r="A13" s="5" t="n"/>
      <c r="B13" s="5" t="n"/>
      <c r="C13" s="5" t="n"/>
      <c r="D13" s="12" t="n"/>
      <c r="E13" s="12" t="n"/>
      <c r="F13" s="11">
        <f>IF($A13="","",SUMIF('Change Orders'!$C$2:$C$21,$A13,'Change Orders'!$G$2:$G$21))</f>
        <v/>
      </c>
      <c r="G13" s="11">
        <f>IF($A13="","",N($D13)+N($F13))</f>
        <v/>
      </c>
      <c r="H13" s="11">
        <f>IF($A13="","",N($E13)+N($F13))</f>
        <v/>
      </c>
      <c r="I13" s="11">
        <f>IF($A13="","",SUMIF(Payments!$B$2:$B$31,$A13,Payments!$D$2:$D$31))</f>
        <v/>
      </c>
      <c r="J13" s="11">
        <f>IF($A13="","",MAX(0,N($H13)-N($I13)))</f>
        <v/>
      </c>
      <c r="K13" s="12" t="n"/>
      <c r="L13" s="11">
        <f>IF($A13="","",N($I13)+N($J13)+N($K13))</f>
        <v/>
      </c>
      <c r="M13" s="11">
        <f>IF($A13="","",N($G13)-N($L13))</f>
        <v/>
      </c>
      <c r="N13" s="11">
        <f>IF($A13="","",IF(N($L13)&gt;N($G13),"OVER",IF(N($L13)=N($G13),"ON PLAN","UNDER")))</f>
        <v/>
      </c>
    </row>
    <row r="14">
      <c r="A14" s="5" t="n"/>
      <c r="B14" s="5" t="n"/>
      <c r="C14" s="5" t="n"/>
      <c r="D14" s="12" t="n"/>
      <c r="E14" s="12" t="n"/>
      <c r="F14" s="11">
        <f>IF($A14="","",SUMIF('Change Orders'!$C$2:$C$21,$A14,'Change Orders'!$G$2:$G$21))</f>
        <v/>
      </c>
      <c r="G14" s="11">
        <f>IF($A14="","",N($D14)+N($F14))</f>
        <v/>
      </c>
      <c r="H14" s="11">
        <f>IF($A14="","",N($E14)+N($F14))</f>
        <v/>
      </c>
      <c r="I14" s="11">
        <f>IF($A14="","",SUMIF(Payments!$B$2:$B$31,$A14,Payments!$D$2:$D$31))</f>
        <v/>
      </c>
      <c r="J14" s="11">
        <f>IF($A14="","",MAX(0,N($H14)-N($I14)))</f>
        <v/>
      </c>
      <c r="K14" s="12" t="n"/>
      <c r="L14" s="11">
        <f>IF($A14="","",N($I14)+N($J14)+N($K14))</f>
        <v/>
      </c>
      <c r="M14" s="11">
        <f>IF($A14="","",N($G14)-N($L14))</f>
        <v/>
      </c>
      <c r="N14" s="11">
        <f>IF($A14="","",IF(N($L14)&gt;N($G14),"OVER",IF(N($L14)=N($G14),"ON PLAN","UNDER")))</f>
        <v/>
      </c>
    </row>
    <row r="15">
      <c r="A15" s="5" t="n"/>
      <c r="B15" s="5" t="n"/>
      <c r="C15" s="5" t="n"/>
      <c r="D15" s="12" t="n"/>
      <c r="E15" s="12" t="n"/>
      <c r="F15" s="11">
        <f>IF($A15="","",SUMIF('Change Orders'!$C$2:$C$21,$A15,'Change Orders'!$G$2:$G$21))</f>
        <v/>
      </c>
      <c r="G15" s="11">
        <f>IF($A15="","",N($D15)+N($F15))</f>
        <v/>
      </c>
      <c r="H15" s="11">
        <f>IF($A15="","",N($E15)+N($F15))</f>
        <v/>
      </c>
      <c r="I15" s="11">
        <f>IF($A15="","",SUMIF(Payments!$B$2:$B$31,$A15,Payments!$D$2:$D$31))</f>
        <v/>
      </c>
      <c r="J15" s="11">
        <f>IF($A15="","",MAX(0,N($H15)-N($I15)))</f>
        <v/>
      </c>
      <c r="K15" s="12" t="n"/>
      <c r="L15" s="11">
        <f>IF($A15="","",N($I15)+N($J15)+N($K15))</f>
        <v/>
      </c>
      <c r="M15" s="11">
        <f>IF($A15="","",N($G15)-N($L15))</f>
        <v/>
      </c>
      <c r="N15" s="11">
        <f>IF($A15="","",IF(N($L15)&gt;N($G15),"OVER",IF(N($L15)=N($G15),"ON PLAN","UNDER")))</f>
        <v/>
      </c>
    </row>
    <row r="16">
      <c r="A16" s="5" t="n"/>
      <c r="B16" s="5" t="n"/>
      <c r="C16" s="5" t="n"/>
      <c r="D16" s="12" t="n"/>
      <c r="E16" s="12" t="n"/>
      <c r="F16" s="11">
        <f>IF($A16="","",SUMIF('Change Orders'!$C$2:$C$21,$A16,'Change Orders'!$G$2:$G$21))</f>
        <v/>
      </c>
      <c r="G16" s="11">
        <f>IF($A16="","",N($D16)+N($F16))</f>
        <v/>
      </c>
      <c r="H16" s="11">
        <f>IF($A16="","",N($E16)+N($F16))</f>
        <v/>
      </c>
      <c r="I16" s="11">
        <f>IF($A16="","",SUMIF(Payments!$B$2:$B$31,$A16,Payments!$D$2:$D$31))</f>
        <v/>
      </c>
      <c r="J16" s="11">
        <f>IF($A16="","",MAX(0,N($H16)-N($I16)))</f>
        <v/>
      </c>
      <c r="K16" s="12" t="n"/>
      <c r="L16" s="11">
        <f>IF($A16="","",N($I16)+N($J16)+N($K16))</f>
        <v/>
      </c>
      <c r="M16" s="11">
        <f>IF($A16="","",N($G16)-N($L16))</f>
        <v/>
      </c>
      <c r="N16" s="11">
        <f>IF($A16="","",IF(N($L16)&gt;N($G16),"OVER",IF(N($L16)=N($G16),"ON PLAN","UNDER")))</f>
        <v/>
      </c>
    </row>
    <row r="17">
      <c r="A17" s="5" t="n"/>
      <c r="B17" s="5" t="n"/>
      <c r="C17" s="5" t="n"/>
      <c r="D17" s="12" t="n"/>
      <c r="E17" s="12" t="n"/>
      <c r="F17" s="11">
        <f>IF($A17="","",SUMIF('Change Orders'!$C$2:$C$21,$A17,'Change Orders'!$G$2:$G$21))</f>
        <v/>
      </c>
      <c r="G17" s="11">
        <f>IF($A17="","",N($D17)+N($F17))</f>
        <v/>
      </c>
      <c r="H17" s="11">
        <f>IF($A17="","",N($E17)+N($F17))</f>
        <v/>
      </c>
      <c r="I17" s="11">
        <f>IF($A17="","",SUMIF(Payments!$B$2:$B$31,$A17,Payments!$D$2:$D$31))</f>
        <v/>
      </c>
      <c r="J17" s="11">
        <f>IF($A17="","",MAX(0,N($H17)-N($I17)))</f>
        <v/>
      </c>
      <c r="K17" s="12" t="n"/>
      <c r="L17" s="11">
        <f>IF($A17="","",N($I17)+N($J17)+N($K17))</f>
        <v/>
      </c>
      <c r="M17" s="11">
        <f>IF($A17="","",N($G17)-N($L17))</f>
        <v/>
      </c>
      <c r="N17" s="11">
        <f>IF($A17="","",IF(N($L17)&gt;N($G17),"OVER",IF(N($L17)=N($G17),"ON PLAN","UNDER")))</f>
        <v/>
      </c>
    </row>
    <row r="18">
      <c r="A18" s="5" t="n"/>
      <c r="B18" s="5" t="n"/>
      <c r="C18" s="5" t="n"/>
      <c r="D18" s="12" t="n"/>
      <c r="E18" s="12" t="n"/>
      <c r="F18" s="11">
        <f>IF($A18="","",SUMIF('Change Orders'!$C$2:$C$21,$A18,'Change Orders'!$G$2:$G$21))</f>
        <v/>
      </c>
      <c r="G18" s="11">
        <f>IF($A18="","",N($D18)+N($F18))</f>
        <v/>
      </c>
      <c r="H18" s="11">
        <f>IF($A18="","",N($E18)+N($F18))</f>
        <v/>
      </c>
      <c r="I18" s="11">
        <f>IF($A18="","",SUMIF(Payments!$B$2:$B$31,$A18,Payments!$D$2:$D$31))</f>
        <v/>
      </c>
      <c r="J18" s="11">
        <f>IF($A18="","",MAX(0,N($H18)-N($I18)))</f>
        <v/>
      </c>
      <c r="K18" s="12" t="n"/>
      <c r="L18" s="11">
        <f>IF($A18="","",N($I18)+N($J18)+N($K18))</f>
        <v/>
      </c>
      <c r="M18" s="11">
        <f>IF($A18="","",N($G18)-N($L18))</f>
        <v/>
      </c>
      <c r="N18" s="11">
        <f>IF($A18="","",IF(N($L18)&gt;N($G18),"OVER",IF(N($L18)=N($G18),"ON PLAN","UNDER")))</f>
        <v/>
      </c>
    </row>
    <row r="19">
      <c r="A19" s="5" t="n"/>
      <c r="B19" s="5" t="n"/>
      <c r="C19" s="5" t="n"/>
      <c r="D19" s="12" t="n"/>
      <c r="E19" s="12" t="n"/>
      <c r="F19" s="11">
        <f>IF($A19="","",SUMIF('Change Orders'!$C$2:$C$21,$A19,'Change Orders'!$G$2:$G$21))</f>
        <v/>
      </c>
      <c r="G19" s="11">
        <f>IF($A19="","",N($D19)+N($F19))</f>
        <v/>
      </c>
      <c r="H19" s="11">
        <f>IF($A19="","",N($E19)+N($F19))</f>
        <v/>
      </c>
      <c r="I19" s="11">
        <f>IF($A19="","",SUMIF(Payments!$B$2:$B$31,$A19,Payments!$D$2:$D$31))</f>
        <v/>
      </c>
      <c r="J19" s="11">
        <f>IF($A19="","",MAX(0,N($H19)-N($I19)))</f>
        <v/>
      </c>
      <c r="K19" s="12" t="n"/>
      <c r="L19" s="11">
        <f>IF($A19="","",N($I19)+N($J19)+N($K19))</f>
        <v/>
      </c>
      <c r="M19" s="11">
        <f>IF($A19="","",N($G19)-N($L19))</f>
        <v/>
      </c>
      <c r="N19" s="11">
        <f>IF($A19="","",IF(N($L19)&gt;N($G19),"OVER",IF(N($L19)=N($G19),"ON PLAN","UNDER")))</f>
        <v/>
      </c>
    </row>
    <row r="20">
      <c r="A20" s="5" t="n"/>
      <c r="B20" s="5" t="n"/>
      <c r="C20" s="5" t="n"/>
      <c r="D20" s="12" t="n"/>
      <c r="E20" s="12" t="n"/>
      <c r="F20" s="11">
        <f>IF($A20="","",SUMIF('Change Orders'!$C$2:$C$21,$A20,'Change Orders'!$G$2:$G$21))</f>
        <v/>
      </c>
      <c r="G20" s="11">
        <f>IF($A20="","",N($D20)+N($F20))</f>
        <v/>
      </c>
      <c r="H20" s="11">
        <f>IF($A20="","",N($E20)+N($F20))</f>
        <v/>
      </c>
      <c r="I20" s="11">
        <f>IF($A20="","",SUMIF(Payments!$B$2:$B$31,$A20,Payments!$D$2:$D$31))</f>
        <v/>
      </c>
      <c r="J20" s="11">
        <f>IF($A20="","",MAX(0,N($H20)-N($I20)))</f>
        <v/>
      </c>
      <c r="K20" s="12" t="n"/>
      <c r="L20" s="11">
        <f>IF($A20="","",N($I20)+N($J20)+N($K20))</f>
        <v/>
      </c>
      <c r="M20" s="11">
        <f>IF($A20="","",N($G20)-N($L20))</f>
        <v/>
      </c>
      <c r="N20" s="11">
        <f>IF($A20="","",IF(N($L20)&gt;N($G20),"OVER",IF(N($L20)=N($G20),"ON PLAN","UNDER")))</f>
        <v/>
      </c>
    </row>
    <row r="21">
      <c r="A21" s="5" t="n"/>
      <c r="B21" s="5" t="n"/>
      <c r="C21" s="5" t="n"/>
      <c r="D21" s="12" t="n"/>
      <c r="E21" s="12" t="n"/>
      <c r="F21" s="11">
        <f>IF($A21="","",SUMIF('Change Orders'!$C$2:$C$21,$A21,'Change Orders'!$G$2:$G$21))</f>
        <v/>
      </c>
      <c r="G21" s="11">
        <f>IF($A21="","",N($D21)+N($F21))</f>
        <v/>
      </c>
      <c r="H21" s="11">
        <f>IF($A21="","",N($E21)+N($F21))</f>
        <v/>
      </c>
      <c r="I21" s="11">
        <f>IF($A21="","",SUMIF(Payments!$B$2:$B$31,$A21,Payments!$D$2:$D$31))</f>
        <v/>
      </c>
      <c r="J21" s="11">
        <f>IF($A21="","",MAX(0,N($H21)-N($I21)))</f>
        <v/>
      </c>
      <c r="K21" s="12" t="n"/>
      <c r="L21" s="11">
        <f>IF($A21="","",N($I21)+N($J21)+N($K21))</f>
        <v/>
      </c>
      <c r="M21" s="11">
        <f>IF($A21="","",N($G21)-N($L21))</f>
        <v/>
      </c>
      <c r="N21" s="11">
        <f>IF($A21="","",IF(N($L21)&gt;N($G21),"OVER",IF(N($L21)=N($G21),"ON PLAN","UNDER")))</f>
        <v/>
      </c>
    </row>
    <row r="22">
      <c r="A22" s="5" t="n"/>
      <c r="B22" s="5" t="n"/>
      <c r="C22" s="5" t="n"/>
      <c r="D22" s="12" t="n"/>
      <c r="E22" s="12" t="n"/>
      <c r="F22" s="11">
        <f>IF($A22="","",SUMIF('Change Orders'!$C$2:$C$21,$A22,'Change Orders'!$G$2:$G$21))</f>
        <v/>
      </c>
      <c r="G22" s="11">
        <f>IF($A22="","",N($D22)+N($F22))</f>
        <v/>
      </c>
      <c r="H22" s="11">
        <f>IF($A22="","",N($E22)+N($F22))</f>
        <v/>
      </c>
      <c r="I22" s="11">
        <f>IF($A22="","",SUMIF(Payments!$B$2:$B$31,$A22,Payments!$D$2:$D$31))</f>
        <v/>
      </c>
      <c r="J22" s="11">
        <f>IF($A22="","",MAX(0,N($H22)-N($I22)))</f>
        <v/>
      </c>
      <c r="K22" s="12" t="n"/>
      <c r="L22" s="11">
        <f>IF($A22="","",N($I22)+N($J22)+N($K22))</f>
        <v/>
      </c>
      <c r="M22" s="11">
        <f>IF($A22="","",N($G22)-N($L22))</f>
        <v/>
      </c>
      <c r="N22" s="11">
        <f>IF($A22="","",IF(N($L22)&gt;N($G22),"OVER",IF(N($L22)=N($G22),"ON PLAN","UNDER")))</f>
        <v/>
      </c>
    </row>
    <row r="23">
      <c r="A23" s="5" t="n"/>
      <c r="B23" s="5" t="n"/>
      <c r="C23" s="5" t="n"/>
      <c r="D23" s="12" t="n"/>
      <c r="E23" s="12" t="n"/>
      <c r="F23" s="11">
        <f>IF($A23="","",SUMIF('Change Orders'!$C$2:$C$21,$A23,'Change Orders'!$G$2:$G$21))</f>
        <v/>
      </c>
      <c r="G23" s="11">
        <f>IF($A23="","",N($D23)+N($F23))</f>
        <v/>
      </c>
      <c r="H23" s="11">
        <f>IF($A23="","",N($E23)+N($F23))</f>
        <v/>
      </c>
      <c r="I23" s="11">
        <f>IF($A23="","",SUMIF(Payments!$B$2:$B$31,$A23,Payments!$D$2:$D$31))</f>
        <v/>
      </c>
      <c r="J23" s="11">
        <f>IF($A23="","",MAX(0,N($H23)-N($I23)))</f>
        <v/>
      </c>
      <c r="K23" s="12" t="n"/>
      <c r="L23" s="11">
        <f>IF($A23="","",N($I23)+N($J23)+N($K23))</f>
        <v/>
      </c>
      <c r="M23" s="11">
        <f>IF($A23="","",N($G23)-N($L23))</f>
        <v/>
      </c>
      <c r="N23" s="11">
        <f>IF($A23="","",IF(N($L23)&gt;N($G23),"OVER",IF(N($L23)=N($G23),"ON PLAN","UNDER")))</f>
        <v/>
      </c>
    </row>
    <row r="24">
      <c r="A24" s="5" t="n"/>
      <c r="B24" s="5" t="n"/>
      <c r="C24" s="5" t="n"/>
      <c r="D24" s="12" t="n"/>
      <c r="E24" s="12" t="n"/>
      <c r="F24" s="11">
        <f>IF($A24="","",SUMIF('Change Orders'!$C$2:$C$21,$A24,'Change Orders'!$G$2:$G$21))</f>
        <v/>
      </c>
      <c r="G24" s="11">
        <f>IF($A24="","",N($D24)+N($F24))</f>
        <v/>
      </c>
      <c r="H24" s="11">
        <f>IF($A24="","",N($E24)+N($F24))</f>
        <v/>
      </c>
      <c r="I24" s="11">
        <f>IF($A24="","",SUMIF(Payments!$B$2:$B$31,$A24,Payments!$D$2:$D$31))</f>
        <v/>
      </c>
      <c r="J24" s="11">
        <f>IF($A24="","",MAX(0,N($H24)-N($I24)))</f>
        <v/>
      </c>
      <c r="K24" s="12" t="n"/>
      <c r="L24" s="11">
        <f>IF($A24="","",N($I24)+N($J24)+N($K24))</f>
        <v/>
      </c>
      <c r="M24" s="11">
        <f>IF($A24="","",N($G24)-N($L24))</f>
        <v/>
      </c>
      <c r="N24" s="11">
        <f>IF($A24="","",IF(N($L24)&gt;N($G24),"OVER",IF(N($L24)=N($G24),"ON PLAN","UNDER")))</f>
        <v/>
      </c>
    </row>
    <row r="25">
      <c r="A25" s="5" t="n"/>
      <c r="B25" s="5" t="n"/>
      <c r="C25" s="5" t="n"/>
      <c r="D25" s="12" t="n"/>
      <c r="E25" s="12" t="n"/>
      <c r="F25" s="11">
        <f>IF($A25="","",SUMIF('Change Orders'!$C$2:$C$21,$A25,'Change Orders'!$G$2:$G$21))</f>
        <v/>
      </c>
      <c r="G25" s="11">
        <f>IF($A25="","",N($D25)+N($F25))</f>
        <v/>
      </c>
      <c r="H25" s="11">
        <f>IF($A25="","",N($E25)+N($F25))</f>
        <v/>
      </c>
      <c r="I25" s="11">
        <f>IF($A25="","",SUMIF(Payments!$B$2:$B$31,$A25,Payments!$D$2:$D$31))</f>
        <v/>
      </c>
      <c r="J25" s="11">
        <f>IF($A25="","",MAX(0,N($H25)-N($I25)))</f>
        <v/>
      </c>
      <c r="K25" s="12" t="n"/>
      <c r="L25" s="11">
        <f>IF($A25="","",N($I25)+N($J25)+N($K25))</f>
        <v/>
      </c>
      <c r="M25" s="11">
        <f>IF($A25="","",N($G25)-N($L25))</f>
        <v/>
      </c>
      <c r="N25" s="11">
        <f>IF($A25="","",IF(N($L25)&gt;N($G25),"OVER",IF(N($L25)=N($G25),"ON PLAN","UNDER")))</f>
        <v/>
      </c>
    </row>
    <row r="26">
      <c r="A26" s="5" t="n"/>
      <c r="B26" s="5" t="n"/>
      <c r="C26" s="5" t="n"/>
      <c r="D26" s="12" t="n"/>
      <c r="E26" s="12" t="n"/>
      <c r="F26" s="11">
        <f>IF($A26="","",SUMIF('Change Orders'!$C$2:$C$21,$A26,'Change Orders'!$G$2:$G$21))</f>
        <v/>
      </c>
      <c r="G26" s="11">
        <f>IF($A26="","",N($D26)+N($F26))</f>
        <v/>
      </c>
      <c r="H26" s="11">
        <f>IF($A26="","",N($E26)+N($F26))</f>
        <v/>
      </c>
      <c r="I26" s="11">
        <f>IF($A26="","",SUMIF(Payments!$B$2:$B$31,$A26,Payments!$D$2:$D$31))</f>
        <v/>
      </c>
      <c r="J26" s="11">
        <f>IF($A26="","",MAX(0,N($H26)-N($I26)))</f>
        <v/>
      </c>
      <c r="K26" s="12" t="n"/>
      <c r="L26" s="11">
        <f>IF($A26="","",N($I26)+N($J26)+N($K26))</f>
        <v/>
      </c>
      <c r="M26" s="11">
        <f>IF($A26="","",N($G26)-N($L26))</f>
        <v/>
      </c>
      <c r="N26" s="11">
        <f>IF($A26="","",IF(N($L26)&gt;N($G26),"OVER",IF(N($L26)=N($G26),"ON PLAN","UNDER")))</f>
        <v/>
      </c>
    </row>
    <row r="27">
      <c r="A27" s="5" t="n"/>
      <c r="B27" s="5" t="n"/>
      <c r="C27" s="5" t="n"/>
      <c r="D27" s="12" t="n"/>
      <c r="E27" s="12" t="n"/>
      <c r="F27" s="11">
        <f>IF($A27="","",SUMIF('Change Orders'!$C$2:$C$21,$A27,'Change Orders'!$G$2:$G$21))</f>
        <v/>
      </c>
      <c r="G27" s="11">
        <f>IF($A27="","",N($D27)+N($F27))</f>
        <v/>
      </c>
      <c r="H27" s="11">
        <f>IF($A27="","",N($E27)+N($F27))</f>
        <v/>
      </c>
      <c r="I27" s="11">
        <f>IF($A27="","",SUMIF(Payments!$B$2:$B$31,$A27,Payments!$D$2:$D$31))</f>
        <v/>
      </c>
      <c r="J27" s="11">
        <f>IF($A27="","",MAX(0,N($H27)-N($I27)))</f>
        <v/>
      </c>
      <c r="K27" s="12" t="n"/>
      <c r="L27" s="11">
        <f>IF($A27="","",N($I27)+N($J27)+N($K27))</f>
        <v/>
      </c>
      <c r="M27" s="11">
        <f>IF($A27="","",N($G27)-N($L27))</f>
        <v/>
      </c>
      <c r="N27" s="11">
        <f>IF($A27="","",IF(N($L27)&gt;N($G27),"OVER",IF(N($L27)=N($G27),"ON PLAN","UNDER")))</f>
        <v/>
      </c>
    </row>
    <row r="28">
      <c r="A28" s="5" t="n"/>
      <c r="B28" s="5" t="n"/>
      <c r="C28" s="5" t="n"/>
      <c r="D28" s="12" t="n"/>
      <c r="E28" s="12" t="n"/>
      <c r="F28" s="11">
        <f>IF($A28="","",SUMIF('Change Orders'!$C$2:$C$21,$A28,'Change Orders'!$G$2:$G$21))</f>
        <v/>
      </c>
      <c r="G28" s="11">
        <f>IF($A28="","",N($D28)+N($F28))</f>
        <v/>
      </c>
      <c r="H28" s="11">
        <f>IF($A28="","",N($E28)+N($F28))</f>
        <v/>
      </c>
      <c r="I28" s="11">
        <f>IF($A28="","",SUMIF(Payments!$B$2:$B$31,$A28,Payments!$D$2:$D$31))</f>
        <v/>
      </c>
      <c r="J28" s="11">
        <f>IF($A28="","",MAX(0,N($H28)-N($I28)))</f>
        <v/>
      </c>
      <c r="K28" s="12" t="n"/>
      <c r="L28" s="11">
        <f>IF($A28="","",N($I28)+N($J28)+N($K28))</f>
        <v/>
      </c>
      <c r="M28" s="11">
        <f>IF($A28="","",N($G28)-N($L28))</f>
        <v/>
      </c>
      <c r="N28" s="11">
        <f>IF($A28="","",IF(N($L28)&gt;N($G28),"OVER",IF(N($L28)=N($G28),"ON PLAN","UNDER")))</f>
        <v/>
      </c>
    </row>
    <row r="29">
      <c r="A29" s="5" t="n"/>
      <c r="B29" s="5" t="n"/>
      <c r="C29" s="5" t="n"/>
      <c r="D29" s="12" t="n"/>
      <c r="E29" s="12" t="n"/>
      <c r="F29" s="11">
        <f>IF($A29="","",SUMIF('Change Orders'!$C$2:$C$21,$A29,'Change Orders'!$G$2:$G$21))</f>
        <v/>
      </c>
      <c r="G29" s="11">
        <f>IF($A29="","",N($D29)+N($F29))</f>
        <v/>
      </c>
      <c r="H29" s="11">
        <f>IF($A29="","",N($E29)+N($F29))</f>
        <v/>
      </c>
      <c r="I29" s="11">
        <f>IF($A29="","",SUMIF(Payments!$B$2:$B$31,$A29,Payments!$D$2:$D$31))</f>
        <v/>
      </c>
      <c r="J29" s="11">
        <f>IF($A29="","",MAX(0,N($H29)-N($I29)))</f>
        <v/>
      </c>
      <c r="K29" s="12" t="n"/>
      <c r="L29" s="11">
        <f>IF($A29="","",N($I29)+N($J29)+N($K29))</f>
        <v/>
      </c>
      <c r="M29" s="11">
        <f>IF($A29="","",N($G29)-N($L29))</f>
        <v/>
      </c>
      <c r="N29" s="11">
        <f>IF($A29="","",IF(N($L29)&gt;N($G29),"OVER",IF(N($L29)=N($G29),"ON PLAN","UNDER")))</f>
        <v/>
      </c>
    </row>
    <row r="30">
      <c r="A30" s="5" t="n"/>
      <c r="B30" s="5" t="n"/>
      <c r="C30" s="5" t="n"/>
      <c r="D30" s="12" t="n"/>
      <c r="E30" s="12" t="n"/>
      <c r="F30" s="11">
        <f>IF($A30="","",SUMIF('Change Orders'!$C$2:$C$21,$A30,'Change Orders'!$G$2:$G$21))</f>
        <v/>
      </c>
      <c r="G30" s="11">
        <f>IF($A30="","",N($D30)+N($F30))</f>
        <v/>
      </c>
      <c r="H30" s="11">
        <f>IF($A30="","",N($E30)+N($F30))</f>
        <v/>
      </c>
      <c r="I30" s="11">
        <f>IF($A30="","",SUMIF(Payments!$B$2:$B$31,$A30,Payments!$D$2:$D$31))</f>
        <v/>
      </c>
      <c r="J30" s="11">
        <f>IF($A30="","",MAX(0,N($H30)-N($I30)))</f>
        <v/>
      </c>
      <c r="K30" s="12" t="n"/>
      <c r="L30" s="11">
        <f>IF($A30="","",N($I30)+N($J30)+N($K30))</f>
        <v/>
      </c>
      <c r="M30" s="11">
        <f>IF($A30="","",N($G30)-N($L30))</f>
        <v/>
      </c>
      <c r="N30" s="11">
        <f>IF($A30="","",IF(N($L30)&gt;N($G30),"OVER",IF(N($L30)=N($G30),"ON PLAN","UNDER")))</f>
        <v/>
      </c>
    </row>
    <row r="31">
      <c r="A31" s="5" t="n"/>
      <c r="B31" s="5" t="n"/>
      <c r="C31" s="5" t="n"/>
      <c r="D31" s="12" t="n"/>
      <c r="E31" s="12" t="n"/>
      <c r="F31" s="11">
        <f>IF($A31="","",SUMIF('Change Orders'!$C$2:$C$21,$A31,'Change Orders'!$G$2:$G$21))</f>
        <v/>
      </c>
      <c r="G31" s="11">
        <f>IF($A31="","",N($D31)+N($F31))</f>
        <v/>
      </c>
      <c r="H31" s="11">
        <f>IF($A31="","",N($E31)+N($F31))</f>
        <v/>
      </c>
      <c r="I31" s="11">
        <f>IF($A31="","",SUMIF(Payments!$B$2:$B$31,$A31,Payments!$D$2:$D$31))</f>
        <v/>
      </c>
      <c r="J31" s="11">
        <f>IF($A31="","",MAX(0,N($H31)-N($I31)))</f>
        <v/>
      </c>
      <c r="K31" s="12" t="n"/>
      <c r="L31" s="11">
        <f>IF($A31="","",N($I31)+N($J31)+N($K31))</f>
        <v/>
      </c>
      <c r="M31" s="11">
        <f>IF($A31="","",N($G31)-N($L31))</f>
        <v/>
      </c>
      <c r="N31" s="11">
        <f>IF($A31="","",IF(N($L31)&gt;N($G31),"OVER",IF(N($L31)=N($G31),"ON PLAN","UNDER")))</f>
        <v/>
      </c>
    </row>
    <row r="32">
      <c r="A32" s="5" t="n"/>
      <c r="B32" s="5" t="n"/>
      <c r="C32" s="5" t="n"/>
      <c r="D32" s="12" t="n"/>
      <c r="E32" s="12" t="n"/>
      <c r="F32" s="11">
        <f>IF($A32="","",SUMIF('Change Orders'!$C$2:$C$21,$A32,'Change Orders'!$G$2:$G$21))</f>
        <v/>
      </c>
      <c r="G32" s="11">
        <f>IF($A32="","",N($D32)+N($F32))</f>
        <v/>
      </c>
      <c r="H32" s="11">
        <f>IF($A32="","",N($E32)+N($F32))</f>
        <v/>
      </c>
      <c r="I32" s="11">
        <f>IF($A32="","",SUMIF(Payments!$B$2:$B$31,$A32,Payments!$D$2:$D$31))</f>
        <v/>
      </c>
      <c r="J32" s="11">
        <f>IF($A32="","",MAX(0,N($H32)-N($I32)))</f>
        <v/>
      </c>
      <c r="K32" s="12" t="n"/>
      <c r="L32" s="11">
        <f>IF($A32="","",N($I32)+N($J32)+N($K32))</f>
        <v/>
      </c>
      <c r="M32" s="11">
        <f>IF($A32="","",N($G32)-N($L32))</f>
        <v/>
      </c>
      <c r="N32" s="11">
        <f>IF($A32="","",IF(N($L32)&gt;N($G32),"OVER",IF(N($L32)=N($G32),"ON PLAN","UNDER")))</f>
        <v/>
      </c>
    </row>
    <row r="33">
      <c r="A33" s="5" t="n"/>
      <c r="B33" s="5" t="n"/>
      <c r="C33" s="5" t="n"/>
      <c r="D33" s="12" t="n"/>
      <c r="E33" s="12" t="n"/>
      <c r="F33" s="11">
        <f>IF($A33="","",SUMIF('Change Orders'!$C$2:$C$21,$A33,'Change Orders'!$G$2:$G$21))</f>
        <v/>
      </c>
      <c r="G33" s="11">
        <f>IF($A33="","",N($D33)+N($F33))</f>
        <v/>
      </c>
      <c r="H33" s="11">
        <f>IF($A33="","",N($E33)+N($F33))</f>
        <v/>
      </c>
      <c r="I33" s="11">
        <f>IF($A33="","",SUMIF(Payments!$B$2:$B$31,$A33,Payments!$D$2:$D$31))</f>
        <v/>
      </c>
      <c r="J33" s="11">
        <f>IF($A33="","",MAX(0,N($H33)-N($I33)))</f>
        <v/>
      </c>
      <c r="K33" s="12" t="n"/>
      <c r="L33" s="11">
        <f>IF($A33="","",N($I33)+N($J33)+N($K33))</f>
        <v/>
      </c>
      <c r="M33" s="11">
        <f>IF($A33="","",N($G33)-N($L33))</f>
        <v/>
      </c>
      <c r="N33" s="11">
        <f>IF($A33="","",IF(N($L33)&gt;N($G33),"OVER",IF(N($L33)=N($G33),"ON PLAN","UNDER")))</f>
        <v/>
      </c>
    </row>
    <row r="34">
      <c r="A34" s="5" t="n"/>
      <c r="B34" s="5" t="n"/>
      <c r="C34" s="5" t="n"/>
      <c r="D34" s="12" t="n"/>
      <c r="E34" s="12" t="n"/>
      <c r="F34" s="11">
        <f>IF($A34="","",SUMIF('Change Orders'!$C$2:$C$21,$A34,'Change Orders'!$G$2:$G$21))</f>
        <v/>
      </c>
      <c r="G34" s="11">
        <f>IF($A34="","",N($D34)+N($F34))</f>
        <v/>
      </c>
      <c r="H34" s="11">
        <f>IF($A34="","",N($E34)+N($F34))</f>
        <v/>
      </c>
      <c r="I34" s="11">
        <f>IF($A34="","",SUMIF(Payments!$B$2:$B$31,$A34,Payments!$D$2:$D$31))</f>
        <v/>
      </c>
      <c r="J34" s="11">
        <f>IF($A34="","",MAX(0,N($H34)-N($I34)))</f>
        <v/>
      </c>
      <c r="K34" s="12" t="n"/>
      <c r="L34" s="11">
        <f>IF($A34="","",N($I34)+N($J34)+N($K34))</f>
        <v/>
      </c>
      <c r="M34" s="11">
        <f>IF($A34="","",N($G34)-N($L34))</f>
        <v/>
      </c>
      <c r="N34" s="11">
        <f>IF($A34="","",IF(N($L34)&gt;N($G34),"OVER",IF(N($L34)=N($G34),"ON PLAN","UNDER")))</f>
        <v/>
      </c>
    </row>
    <row r="35">
      <c r="A35" s="5" t="n"/>
      <c r="B35" s="5" t="n"/>
      <c r="C35" s="5" t="n"/>
      <c r="D35" s="12" t="n"/>
      <c r="E35" s="12" t="n"/>
      <c r="F35" s="11">
        <f>IF($A35="","",SUMIF('Change Orders'!$C$2:$C$21,$A35,'Change Orders'!$G$2:$G$21))</f>
        <v/>
      </c>
      <c r="G35" s="11">
        <f>IF($A35="","",N($D35)+N($F35))</f>
        <v/>
      </c>
      <c r="H35" s="11">
        <f>IF($A35="","",N($E35)+N($F35))</f>
        <v/>
      </c>
      <c r="I35" s="11">
        <f>IF($A35="","",SUMIF(Payments!$B$2:$B$31,$A35,Payments!$D$2:$D$31))</f>
        <v/>
      </c>
      <c r="J35" s="11">
        <f>IF($A35="","",MAX(0,N($H35)-N($I35)))</f>
        <v/>
      </c>
      <c r="K35" s="12" t="n"/>
      <c r="L35" s="11">
        <f>IF($A35="","",N($I35)+N($J35)+N($K35))</f>
        <v/>
      </c>
      <c r="M35" s="11">
        <f>IF($A35="","",N($G35)-N($L35))</f>
        <v/>
      </c>
      <c r="N35" s="11">
        <f>IF($A35="","",IF(N($L35)&gt;N($G35),"OVER",IF(N($L35)=N($G35),"ON PLAN","UNDER")))</f>
        <v/>
      </c>
    </row>
    <row r="36">
      <c r="A36" s="5" t="n"/>
      <c r="B36" s="5" t="n"/>
      <c r="C36" s="5" t="n"/>
      <c r="D36" s="12" t="n"/>
      <c r="E36" s="12" t="n"/>
      <c r="F36" s="11">
        <f>IF($A36="","",SUMIF('Change Orders'!$C$2:$C$21,$A36,'Change Orders'!$G$2:$G$21))</f>
        <v/>
      </c>
      <c r="G36" s="11">
        <f>IF($A36="","",N($D36)+N($F36))</f>
        <v/>
      </c>
      <c r="H36" s="11">
        <f>IF($A36="","",N($E36)+N($F36))</f>
        <v/>
      </c>
      <c r="I36" s="11">
        <f>IF($A36="","",SUMIF(Payments!$B$2:$B$31,$A36,Payments!$D$2:$D$31))</f>
        <v/>
      </c>
      <c r="J36" s="11">
        <f>IF($A36="","",MAX(0,N($H36)-N($I36)))</f>
        <v/>
      </c>
      <c r="K36" s="12" t="n"/>
      <c r="L36" s="11">
        <f>IF($A36="","",N($I36)+N($J36)+N($K36))</f>
        <v/>
      </c>
      <c r="M36" s="11">
        <f>IF($A36="","",N($G36)-N($L36))</f>
        <v/>
      </c>
      <c r="N36" s="11">
        <f>IF($A36="","",IF(N($L36)&gt;N($G36),"OVER",IF(N($L36)=N($G36),"ON PLAN","UNDER")))</f>
        <v/>
      </c>
    </row>
    <row r="37">
      <c r="A37" s="5" t="n"/>
      <c r="B37" s="5" t="n"/>
      <c r="C37" s="5" t="n"/>
      <c r="D37" s="12" t="n"/>
      <c r="E37" s="12" t="n"/>
      <c r="F37" s="11">
        <f>IF($A37="","",SUMIF('Change Orders'!$C$2:$C$21,$A37,'Change Orders'!$G$2:$G$21))</f>
        <v/>
      </c>
      <c r="G37" s="11">
        <f>IF($A37="","",N($D37)+N($F37))</f>
        <v/>
      </c>
      <c r="H37" s="11">
        <f>IF($A37="","",N($E37)+N($F37))</f>
        <v/>
      </c>
      <c r="I37" s="11">
        <f>IF($A37="","",SUMIF(Payments!$B$2:$B$31,$A37,Payments!$D$2:$D$31))</f>
        <v/>
      </c>
      <c r="J37" s="11">
        <f>IF($A37="","",MAX(0,N($H37)-N($I37)))</f>
        <v/>
      </c>
      <c r="K37" s="12" t="n"/>
      <c r="L37" s="11">
        <f>IF($A37="","",N($I37)+N($J37)+N($K37))</f>
        <v/>
      </c>
      <c r="M37" s="11">
        <f>IF($A37="","",N($G37)-N($L37))</f>
        <v/>
      </c>
      <c r="N37" s="11">
        <f>IF($A37="","",IF(N($L37)&gt;N($G37),"OVER",IF(N($L37)=N($G37),"ON PLAN","UNDER")))</f>
        <v/>
      </c>
    </row>
    <row r="38">
      <c r="A38" s="5" t="n"/>
      <c r="B38" s="5" t="n"/>
      <c r="C38" s="5" t="n"/>
      <c r="D38" s="12" t="n"/>
      <c r="E38" s="12" t="n"/>
      <c r="F38" s="11">
        <f>IF($A38="","",SUMIF('Change Orders'!$C$2:$C$21,$A38,'Change Orders'!$G$2:$G$21))</f>
        <v/>
      </c>
      <c r="G38" s="11">
        <f>IF($A38="","",N($D38)+N($F38))</f>
        <v/>
      </c>
      <c r="H38" s="11">
        <f>IF($A38="","",N($E38)+N($F38))</f>
        <v/>
      </c>
      <c r="I38" s="11">
        <f>IF($A38="","",SUMIF(Payments!$B$2:$B$31,$A38,Payments!$D$2:$D$31))</f>
        <v/>
      </c>
      <c r="J38" s="11">
        <f>IF($A38="","",MAX(0,N($H38)-N($I38)))</f>
        <v/>
      </c>
      <c r="K38" s="12" t="n"/>
      <c r="L38" s="11">
        <f>IF($A38="","",N($I38)+N($J38)+N($K38))</f>
        <v/>
      </c>
      <c r="M38" s="11">
        <f>IF($A38="","",N($G38)-N($L38))</f>
        <v/>
      </c>
      <c r="N38" s="11">
        <f>IF($A38="","",IF(N($L38)&gt;N($G38),"OVER",IF(N($L38)=N($G38),"ON PLAN","UNDER")))</f>
        <v/>
      </c>
    </row>
    <row r="39">
      <c r="A39" s="5" t="n"/>
      <c r="B39" s="5" t="n"/>
      <c r="C39" s="5" t="n"/>
      <c r="D39" s="12" t="n"/>
      <c r="E39" s="12" t="n"/>
      <c r="F39" s="11">
        <f>IF($A39="","",SUMIF('Change Orders'!$C$2:$C$21,$A39,'Change Orders'!$G$2:$G$21))</f>
        <v/>
      </c>
      <c r="G39" s="11">
        <f>IF($A39="","",N($D39)+N($F39))</f>
        <v/>
      </c>
      <c r="H39" s="11">
        <f>IF($A39="","",N($E39)+N($F39))</f>
        <v/>
      </c>
      <c r="I39" s="11">
        <f>IF($A39="","",SUMIF(Payments!$B$2:$B$31,$A39,Payments!$D$2:$D$31))</f>
        <v/>
      </c>
      <c r="J39" s="11">
        <f>IF($A39="","",MAX(0,N($H39)-N($I39)))</f>
        <v/>
      </c>
      <c r="K39" s="12" t="n"/>
      <c r="L39" s="11">
        <f>IF($A39="","",N($I39)+N($J39)+N($K39))</f>
        <v/>
      </c>
      <c r="M39" s="11">
        <f>IF($A39="","",N($G39)-N($L39))</f>
        <v/>
      </c>
      <c r="N39" s="11">
        <f>IF($A39="","",IF(N($L39)&gt;N($G39),"OVER",IF(N($L39)=N($G39),"ON PLAN","UNDER")))</f>
        <v/>
      </c>
    </row>
    <row r="40">
      <c r="A40" s="5" t="n"/>
      <c r="B40" s="5" t="n"/>
      <c r="C40" s="5" t="n"/>
      <c r="D40" s="12" t="n"/>
      <c r="E40" s="12" t="n"/>
      <c r="F40" s="11">
        <f>IF($A40="","",SUMIF('Change Orders'!$C$2:$C$21,$A40,'Change Orders'!$G$2:$G$21))</f>
        <v/>
      </c>
      <c r="G40" s="11">
        <f>IF($A40="","",N($D40)+N($F40))</f>
        <v/>
      </c>
      <c r="H40" s="11">
        <f>IF($A40="","",N($E40)+N($F40))</f>
        <v/>
      </c>
      <c r="I40" s="11">
        <f>IF($A40="","",SUMIF(Payments!$B$2:$B$31,$A40,Payments!$D$2:$D$31))</f>
        <v/>
      </c>
      <c r="J40" s="11">
        <f>IF($A40="","",MAX(0,N($H40)-N($I40)))</f>
        <v/>
      </c>
      <c r="K40" s="12" t="n"/>
      <c r="L40" s="11">
        <f>IF($A40="","",N($I40)+N($J40)+N($K40))</f>
        <v/>
      </c>
      <c r="M40" s="11">
        <f>IF($A40="","",N($G40)-N($L40))</f>
        <v/>
      </c>
      <c r="N40" s="11">
        <f>IF($A40="","",IF(N($L40)&gt;N($G40),"OVER",IF(N($L40)=N($G40),"ON PLAN","UNDER")))</f>
        <v/>
      </c>
    </row>
    <row r="41">
      <c r="A41" s="5" t="n"/>
      <c r="B41" s="5" t="n"/>
      <c r="C41" s="5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</sheetData>
  <dataValidations count="2">
    <dataValidation sqref="B2:B41" showDropDown="0" showInputMessage="0" showErrorMessage="1" allowBlank="1" errorTitle="Category" error="Pick a category from the list." type="list">
      <formula1>"Design &amp; permits,Demolition,Structure,Electrical,Plumbing,HVAC,Millwork,Surfaces,Tile &amp; flooring,Paint &amp; finish,Appliances,Landscape,Other"</formula1>
    </dataValidation>
    <dataValidation sqref="D2:D41 E2:E41 K2:K41" showDropDown="0" showInputMessage="0" showErrorMessage="1" allowBlank="1" errorTitle="Amount" error="Enter 0 or more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52" customWidth="1" min="4" max="4"/>
    <col width="14" customWidth="1" min="5" max="5"/>
    <col width="12" customWidth="1" min="6" max="6"/>
    <col width="18" customWidth="1" min="7" max="7"/>
  </cols>
  <sheetData>
    <row r="1">
      <c r="A1" s="4" t="inlineStr">
        <is>
          <t>CO #</t>
        </is>
      </c>
      <c r="B1" s="4" t="inlineStr">
        <is>
          <t>Date</t>
        </is>
      </c>
      <c r="C1" s="4" t="inlineStr">
        <is>
          <t>Line</t>
        </is>
      </c>
      <c r="D1" s="4" t="inlineStr">
        <is>
          <t>What changed</t>
        </is>
      </c>
      <c r="E1" s="4" t="inlineStr">
        <is>
          <t>Amount</t>
        </is>
      </c>
      <c r="F1" s="4" t="inlineStr">
        <is>
          <t>Approved?</t>
        </is>
      </c>
      <c r="G1" s="4" t="inlineStr">
        <is>
          <t>Amount that counts</t>
        </is>
      </c>
    </row>
    <row r="2">
      <c r="A2" s="8" t="inlineStr">
        <is>
          <t>CO-01</t>
        </is>
      </c>
      <c r="B2" s="13" t="inlineStr">
        <is>
          <t>2026-05-20</t>
        </is>
      </c>
      <c r="C2" s="8" t="inlineStr">
        <is>
          <t>K-03</t>
        </is>
      </c>
      <c r="D2" s="8" t="inlineStr">
        <is>
          <t>Countertop selection above the allowance</t>
        </is>
      </c>
      <c r="E2" s="10" t="n">
        <v>1700</v>
      </c>
      <c r="F2" s="8" t="inlineStr">
        <is>
          <t>Yes</t>
        </is>
      </c>
      <c r="G2" s="11">
        <f>IF(OR($A2="",$E2=""),"",IF(LOWER(TRIM($F2))="yes",N($E2),0))</f>
        <v/>
      </c>
    </row>
    <row r="3">
      <c r="A3" s="8" t="inlineStr">
        <is>
          <t>CO-02</t>
        </is>
      </c>
      <c r="B3" s="13" t="inlineStr">
        <is>
          <t>2026-06-04</t>
        </is>
      </c>
      <c r="C3" s="8" t="inlineStr">
        <is>
          <t>K-05</t>
        </is>
      </c>
      <c r="D3" s="8" t="inlineStr">
        <is>
          <t>Added kitchen circuit required by inspection</t>
        </is>
      </c>
      <c r="E3" s="10" t="n">
        <v>600</v>
      </c>
      <c r="F3" s="8" t="inlineStr">
        <is>
          <t>Yes</t>
        </is>
      </c>
      <c r="G3" s="11">
        <f>IF(OR($A3="",$E3=""),"",IF(LOWER(TRIM($F3))="yes",N($E3),0))</f>
        <v/>
      </c>
    </row>
    <row r="4">
      <c r="A4" s="8" t="inlineStr">
        <is>
          <t>CO-03</t>
        </is>
      </c>
      <c r="B4" s="13" t="inlineStr">
        <is>
          <t>2026-06-18</t>
        </is>
      </c>
      <c r="C4" s="8" t="inlineStr">
        <is>
          <t>K-06</t>
        </is>
      </c>
      <c r="D4" s="8" t="inlineStr">
        <is>
          <t>Upgraded paint finish - not signed yet</t>
        </is>
      </c>
      <c r="E4" s="10" t="n">
        <v>450</v>
      </c>
      <c r="F4" s="8" t="inlineStr">
        <is>
          <t>No</t>
        </is>
      </c>
      <c r="G4" s="11">
        <f>IF(OR($A4="",$E4=""),"",IF(LOWER(TRIM($F4))="yes",N($E4),0))</f>
        <v/>
      </c>
    </row>
    <row r="5">
      <c r="A5" s="5" t="n"/>
      <c r="B5" s="7" t="n"/>
      <c r="C5" s="5" t="n"/>
      <c r="D5" s="5" t="n"/>
      <c r="E5" s="12" t="n"/>
      <c r="F5" s="5" t="n"/>
      <c r="G5" s="11">
        <f>IF(OR($A5="",$E5=""),"",IF(LOWER(TRIM($F5))="yes",N($E5),0))</f>
        <v/>
      </c>
    </row>
    <row r="6">
      <c r="A6" s="5" t="n"/>
      <c r="B6" s="7" t="n"/>
      <c r="C6" s="5" t="n"/>
      <c r="D6" s="5" t="n"/>
      <c r="E6" s="12" t="n"/>
      <c r="F6" s="5" t="n"/>
      <c r="G6" s="11">
        <f>IF(OR($A6="",$E6=""),"",IF(LOWER(TRIM($F6))="yes",N($E6),0))</f>
        <v/>
      </c>
    </row>
    <row r="7">
      <c r="A7" s="5" t="n"/>
      <c r="B7" s="7" t="n"/>
      <c r="C7" s="5" t="n"/>
      <c r="D7" s="5" t="n"/>
      <c r="E7" s="12" t="n"/>
      <c r="F7" s="5" t="n"/>
      <c r="G7" s="11">
        <f>IF(OR($A7="",$E7=""),"",IF(LOWER(TRIM($F7))="yes",N($E7),0))</f>
        <v/>
      </c>
    </row>
    <row r="8">
      <c r="A8" s="5" t="n"/>
      <c r="B8" s="7" t="n"/>
      <c r="C8" s="5" t="n"/>
      <c r="D8" s="5" t="n"/>
      <c r="E8" s="12" t="n"/>
      <c r="F8" s="5" t="n"/>
      <c r="G8" s="11">
        <f>IF(OR($A8="",$E8=""),"",IF(LOWER(TRIM($F8))="yes",N($E8),0))</f>
        <v/>
      </c>
    </row>
    <row r="9">
      <c r="A9" s="5" t="n"/>
      <c r="B9" s="7" t="n"/>
      <c r="C9" s="5" t="n"/>
      <c r="D9" s="5" t="n"/>
      <c r="E9" s="12" t="n"/>
      <c r="F9" s="5" t="n"/>
      <c r="G9" s="11">
        <f>IF(OR($A9="",$E9=""),"",IF(LOWER(TRIM($F9))="yes",N($E9),0))</f>
        <v/>
      </c>
    </row>
    <row r="10">
      <c r="A10" s="5" t="n"/>
      <c r="B10" s="7" t="n"/>
      <c r="C10" s="5" t="n"/>
      <c r="D10" s="5" t="n"/>
      <c r="E10" s="12" t="n"/>
      <c r="F10" s="5" t="n"/>
      <c r="G10" s="11">
        <f>IF(OR($A10="",$E10=""),"",IF(LOWER(TRIM($F10))="yes",N($E10),0))</f>
        <v/>
      </c>
    </row>
    <row r="11">
      <c r="A11" s="5" t="n"/>
      <c r="B11" s="7" t="n"/>
      <c r="C11" s="5" t="n"/>
      <c r="D11" s="5" t="n"/>
      <c r="E11" s="12" t="n"/>
      <c r="F11" s="5" t="n"/>
      <c r="G11" s="11">
        <f>IF(OR($A11="",$E11=""),"",IF(LOWER(TRIM($F11))="yes",N($E11),0))</f>
        <v/>
      </c>
    </row>
    <row r="12">
      <c r="A12" s="5" t="n"/>
      <c r="B12" s="7" t="n"/>
      <c r="C12" s="5" t="n"/>
      <c r="D12" s="5" t="n"/>
      <c r="E12" s="12" t="n"/>
      <c r="F12" s="5" t="n"/>
      <c r="G12" s="11">
        <f>IF(OR($A12="",$E12=""),"",IF(LOWER(TRIM($F12))="yes",N($E12),0))</f>
        <v/>
      </c>
    </row>
    <row r="13">
      <c r="A13" s="5" t="n"/>
      <c r="B13" s="7" t="n"/>
      <c r="C13" s="5" t="n"/>
      <c r="D13" s="5" t="n"/>
      <c r="E13" s="12" t="n"/>
      <c r="F13" s="5" t="n"/>
      <c r="G13" s="11">
        <f>IF(OR($A13="",$E13=""),"",IF(LOWER(TRIM($F13))="yes",N($E13),0))</f>
        <v/>
      </c>
    </row>
    <row r="14">
      <c r="A14" s="5" t="n"/>
      <c r="B14" s="7" t="n"/>
      <c r="C14" s="5" t="n"/>
      <c r="D14" s="5" t="n"/>
      <c r="E14" s="12" t="n"/>
      <c r="F14" s="5" t="n"/>
      <c r="G14" s="11">
        <f>IF(OR($A14="",$E14=""),"",IF(LOWER(TRIM($F14))="yes",N($E14),0))</f>
        <v/>
      </c>
    </row>
    <row r="15">
      <c r="A15" s="5" t="n"/>
      <c r="B15" s="7" t="n"/>
      <c r="C15" s="5" t="n"/>
      <c r="D15" s="5" t="n"/>
      <c r="E15" s="12" t="n"/>
      <c r="F15" s="5" t="n"/>
      <c r="G15" s="11">
        <f>IF(OR($A15="",$E15=""),"",IF(LOWER(TRIM($F15))="yes",N($E15),0))</f>
        <v/>
      </c>
    </row>
    <row r="16">
      <c r="A16" s="5" t="n"/>
      <c r="B16" s="7" t="n"/>
      <c r="C16" s="5" t="n"/>
      <c r="D16" s="5" t="n"/>
      <c r="E16" s="12" t="n"/>
      <c r="F16" s="5" t="n"/>
      <c r="G16" s="11">
        <f>IF(OR($A16="",$E16=""),"",IF(LOWER(TRIM($F16))="yes",N($E16),0))</f>
        <v/>
      </c>
    </row>
    <row r="17">
      <c r="A17" s="5" t="n"/>
      <c r="B17" s="7" t="n"/>
      <c r="C17" s="5" t="n"/>
      <c r="D17" s="5" t="n"/>
      <c r="E17" s="12" t="n"/>
      <c r="F17" s="5" t="n"/>
      <c r="G17" s="11">
        <f>IF(OR($A17="",$E17=""),"",IF(LOWER(TRIM($F17))="yes",N($E17),0))</f>
        <v/>
      </c>
    </row>
    <row r="18">
      <c r="A18" s="5" t="n"/>
      <c r="B18" s="7" t="n"/>
      <c r="C18" s="5" t="n"/>
      <c r="D18" s="5" t="n"/>
      <c r="E18" s="12" t="n"/>
      <c r="F18" s="5" t="n"/>
      <c r="G18" s="11">
        <f>IF(OR($A18="",$E18=""),"",IF(LOWER(TRIM($F18))="yes",N($E18),0))</f>
        <v/>
      </c>
    </row>
    <row r="19">
      <c r="A19" s="5" t="n"/>
      <c r="B19" s="7" t="n"/>
      <c r="C19" s="5" t="n"/>
      <c r="D19" s="5" t="n"/>
      <c r="E19" s="12" t="n"/>
      <c r="F19" s="5" t="n"/>
      <c r="G19" s="11">
        <f>IF(OR($A19="",$E19=""),"",IF(LOWER(TRIM($F19))="yes",N($E19),0))</f>
        <v/>
      </c>
    </row>
    <row r="20">
      <c r="A20" s="5" t="n"/>
      <c r="B20" s="7" t="n"/>
      <c r="C20" s="5" t="n"/>
      <c r="D20" s="5" t="n"/>
      <c r="E20" s="12" t="n"/>
      <c r="F20" s="5" t="n"/>
      <c r="G20" s="11">
        <f>IF(OR($A20="",$E20=""),"",IF(LOWER(TRIM($F20))="yes",N($E20),0))</f>
        <v/>
      </c>
    </row>
    <row r="21">
      <c r="A21" s="5" t="n"/>
      <c r="B21" s="7" t="n"/>
      <c r="C21" s="5" t="n"/>
      <c r="D21" s="5" t="n"/>
      <c r="E21" s="12" t="n"/>
      <c r="F21" s="5" t="n"/>
      <c r="G21" s="12" t="n"/>
    </row>
  </sheetData>
  <dataValidations count="2">
    <dataValidation sqref="F2:F21" showDropDown="0" showInputMessage="0" showErrorMessage="1" allowBlank="1" errorTitle="Approved?" error="Type Yes only when the change is signed and approved." type="list">
      <formula1>"Yes,No"</formula1>
    </dataValidation>
    <dataValidation sqref="E2:E21" showDropDown="0" showInputMessage="0" showErrorMessage="1" allowBlank="1" errorTitle="Amount" error="Enter 0 or more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6" customWidth="1" min="3" max="3"/>
    <col width="18" customWidth="1" min="4" max="4"/>
    <col width="17" customWidth="1" min="5" max="5"/>
    <col width="13" customWidth="1" min="6" max="6"/>
    <col width="18" customWidth="1" min="7" max="7"/>
    <col width="22" customWidth="1" min="8" max="8"/>
    <col width="14" customWidth="1" min="9" max="9"/>
    <col width="38" customWidth="1" min="10" max="10"/>
  </cols>
  <sheetData>
    <row r="1">
      <c r="A1" s="4" t="inlineStr">
        <is>
          <t>Allowance #</t>
        </is>
      </c>
      <c r="B1" s="4" t="inlineStr">
        <is>
          <t>Line</t>
        </is>
      </c>
      <c r="C1" s="4" t="inlineStr">
        <is>
          <t>Item</t>
        </is>
      </c>
      <c r="D1" s="4" t="inlineStr">
        <is>
          <t>Allowance in contract</t>
        </is>
      </c>
      <c r="E1" s="4" t="inlineStr">
        <is>
          <t>Chosen selection</t>
        </is>
      </c>
      <c r="F1" s="4" t="inlineStr">
        <is>
          <t>Difference</t>
        </is>
      </c>
      <c r="G1" s="4" t="inlineStr">
        <is>
          <t>Credit already received</t>
        </is>
      </c>
      <c r="H1" s="4" t="inlineStr">
        <is>
          <t>Credit still owed to you</t>
        </is>
      </c>
      <c r="I1" s="4" t="inlineStr">
        <is>
          <t>Change order #</t>
        </is>
      </c>
      <c r="J1" s="4" t="inlineStr">
        <is>
          <t>Status</t>
        </is>
      </c>
    </row>
    <row r="2">
      <c r="A2" s="8" t="inlineStr">
        <is>
          <t>A-01</t>
        </is>
      </c>
      <c r="B2" s="8" t="inlineStr">
        <is>
          <t>K-03</t>
        </is>
      </c>
      <c r="C2" s="8" t="inlineStr">
        <is>
          <t>Countertops</t>
        </is>
      </c>
      <c r="D2" s="10" t="n">
        <v>7500</v>
      </c>
      <c r="E2" s="10" t="n">
        <v>9200</v>
      </c>
      <c r="F2" s="11">
        <f>IF($A2="","",IF(OR($D2="",$E2=""),"",N($E2)-N($D2)))</f>
        <v/>
      </c>
      <c r="G2" s="10" t="n">
        <v>0</v>
      </c>
      <c r="H2" s="11">
        <f>IF($A2="","",IF(NOT(ISNUMBER($F2)),"",IF($F2&lt;0,MAX(0,-N($F2)-N($G2)),0)))</f>
        <v/>
      </c>
      <c r="I2" s="8" t="inlineStr">
        <is>
          <t>CO-01</t>
        </is>
      </c>
      <c r="J2" s="14">
        <f>IF($A2="","",IF(NOT(ISNUMBER($F2)),"",IF($F2&gt;0,IF($I2="","Overage - no change order #",IF(COUNTIFS('Change Orders'!$A$2:$A$21,$I2,'Change Orders'!$F$2:$F$21,"Yes")&gt;0,"Overage - change order on file","Overage - CO not approved")),IF(N($H2)&gt;0,"Credit still owed to you","Settled"))))</f>
        <v/>
      </c>
    </row>
    <row r="3">
      <c r="A3" s="8" t="inlineStr">
        <is>
          <t>A-02</t>
        </is>
      </c>
      <c r="B3" s="8" t="inlineStr">
        <is>
          <t>K-06</t>
        </is>
      </c>
      <c r="C3" s="8" t="inlineStr">
        <is>
          <t>Lighting</t>
        </is>
      </c>
      <c r="D3" s="10" t="n">
        <v>1200</v>
      </c>
      <c r="E3" s="10" t="n">
        <v>400</v>
      </c>
      <c r="F3" s="11">
        <f>IF($A3="","",IF(OR($D3="",$E3=""),"",N($E3)-N($D3)))</f>
        <v/>
      </c>
      <c r="G3" s="10" t="n">
        <v>300</v>
      </c>
      <c r="H3" s="11">
        <f>IF($A3="","",IF(NOT(ISNUMBER($F3)),"",IF($F3&lt;0,MAX(0,-N($F3)-N($G3)),0)))</f>
        <v/>
      </c>
      <c r="I3" s="8" t="inlineStr"/>
      <c r="J3" s="14">
        <f>IF($A3="","",IF(NOT(ISNUMBER($F3)),"",IF($F3&gt;0,IF($I3="","Overage - no change order #",IF(COUNTIFS('Change Orders'!$A$2:$A$21,$I3,'Change Orders'!$F$2:$F$21,"Yes")&gt;0,"Overage - change order on file","Overage - CO not approved")),IF(N($H3)&gt;0,"Credit still owed to you","Settled"))))</f>
        <v/>
      </c>
    </row>
    <row r="4">
      <c r="A4" s="8" t="inlineStr">
        <is>
          <t>A-03</t>
        </is>
      </c>
      <c r="B4" s="8" t="inlineStr">
        <is>
          <t>K-05</t>
        </is>
      </c>
      <c r="C4" s="8" t="inlineStr">
        <is>
          <t>Plumbing fixtures</t>
        </is>
      </c>
      <c r="D4" s="10" t="n">
        <v>1500</v>
      </c>
      <c r="E4" s="10" t="n">
        <v>1900</v>
      </c>
      <c r="F4" s="11">
        <f>IF($A4="","",IF(OR($D4="",$E4=""),"",N($E4)-N($D4)))</f>
        <v/>
      </c>
      <c r="G4" s="10" t="n">
        <v>0</v>
      </c>
      <c r="H4" s="11">
        <f>IF($A4="","",IF(NOT(ISNUMBER($F4)),"",IF($F4&lt;0,MAX(0,-N($F4)-N($G4)),0)))</f>
        <v/>
      </c>
      <c r="I4" s="8" t="inlineStr"/>
      <c r="J4" s="14">
        <f>IF($A4="","",IF(NOT(ISNUMBER($F4)),"",IF($F4&gt;0,IF($I4="","Overage - no change order #",IF(COUNTIFS('Change Orders'!$A$2:$A$21,$I4,'Change Orders'!$F$2:$F$21,"Yes")&gt;0,"Overage - change order on file","Overage - CO not approved")),IF(N($H4)&gt;0,"Credit still owed to you","Settled"))))</f>
        <v/>
      </c>
    </row>
    <row r="5">
      <c r="A5" s="5" t="n"/>
      <c r="B5" s="5" t="n"/>
      <c r="C5" s="5" t="n"/>
      <c r="D5" s="12" t="n"/>
      <c r="E5" s="12" t="n"/>
      <c r="F5" s="11">
        <f>IF($A5="","",IF(OR($D5="",$E5=""),"",N($E5)-N($D5)))</f>
        <v/>
      </c>
      <c r="G5" s="12" t="n"/>
      <c r="H5" s="11">
        <f>IF($A5="","",IF(NOT(ISNUMBER($F5)),"",IF($F5&lt;0,MAX(0,-N($F5)-N($G5)),0)))</f>
        <v/>
      </c>
      <c r="I5" s="5" t="n"/>
      <c r="J5" s="14">
        <f>IF($A5="","",IF(NOT(ISNUMBER($F5)),"",IF($F5&gt;0,IF($I5="","Overage - no change order #",IF(COUNTIFS('Change Orders'!$A$2:$A$21,$I5,'Change Orders'!$F$2:$F$21,"Yes")&gt;0,"Overage - change order on file","Overage - CO not approved")),IF(N($H5)&gt;0,"Credit still owed to you","Settled"))))</f>
        <v/>
      </c>
    </row>
    <row r="6">
      <c r="A6" s="5" t="n"/>
      <c r="B6" s="5" t="n"/>
      <c r="C6" s="5" t="n"/>
      <c r="D6" s="12" t="n"/>
      <c r="E6" s="12" t="n"/>
      <c r="F6" s="11">
        <f>IF($A6="","",IF(OR($D6="",$E6=""),"",N($E6)-N($D6)))</f>
        <v/>
      </c>
      <c r="G6" s="12" t="n"/>
      <c r="H6" s="11">
        <f>IF($A6="","",IF(NOT(ISNUMBER($F6)),"",IF($F6&lt;0,MAX(0,-N($F6)-N($G6)),0)))</f>
        <v/>
      </c>
      <c r="I6" s="5" t="n"/>
      <c r="J6" s="14">
        <f>IF($A6="","",IF(NOT(ISNUMBER($F6)),"",IF($F6&gt;0,IF($I6="","Overage - no change order #",IF(COUNTIFS('Change Orders'!$A$2:$A$21,$I6,'Change Orders'!$F$2:$F$21,"Yes")&gt;0,"Overage - change order on file","Overage - CO not approved")),IF(N($H6)&gt;0,"Credit still owed to you","Settled"))))</f>
        <v/>
      </c>
    </row>
    <row r="7">
      <c r="A7" s="5" t="n"/>
      <c r="B7" s="5" t="n"/>
      <c r="C7" s="5" t="n"/>
      <c r="D7" s="12" t="n"/>
      <c r="E7" s="12" t="n"/>
      <c r="F7" s="11">
        <f>IF($A7="","",IF(OR($D7="",$E7=""),"",N($E7)-N($D7)))</f>
        <v/>
      </c>
      <c r="G7" s="12" t="n"/>
      <c r="H7" s="11">
        <f>IF($A7="","",IF(NOT(ISNUMBER($F7)),"",IF($F7&lt;0,MAX(0,-N($F7)-N($G7)),0)))</f>
        <v/>
      </c>
      <c r="I7" s="5" t="n"/>
      <c r="J7" s="14">
        <f>IF($A7="","",IF(NOT(ISNUMBER($F7)),"",IF($F7&gt;0,IF($I7="","Overage - no change order #",IF(COUNTIFS('Change Orders'!$A$2:$A$21,$I7,'Change Orders'!$F$2:$F$21,"Yes")&gt;0,"Overage - change order on file","Overage - CO not approved")),IF(N($H7)&gt;0,"Credit still owed to you","Settled"))))</f>
        <v/>
      </c>
    </row>
    <row r="8">
      <c r="A8" s="5" t="n"/>
      <c r="B8" s="5" t="n"/>
      <c r="C8" s="5" t="n"/>
      <c r="D8" s="12" t="n"/>
      <c r="E8" s="12" t="n"/>
      <c r="F8" s="11">
        <f>IF($A8="","",IF(OR($D8="",$E8=""),"",N($E8)-N($D8)))</f>
        <v/>
      </c>
      <c r="G8" s="12" t="n"/>
      <c r="H8" s="11">
        <f>IF($A8="","",IF(NOT(ISNUMBER($F8)),"",IF($F8&lt;0,MAX(0,-N($F8)-N($G8)),0)))</f>
        <v/>
      </c>
      <c r="I8" s="5" t="n"/>
      <c r="J8" s="14">
        <f>IF($A8="","",IF(NOT(ISNUMBER($F8)),"",IF($F8&gt;0,IF($I8="","Overage - no change order #",IF(COUNTIFS('Change Orders'!$A$2:$A$21,$I8,'Change Orders'!$F$2:$F$21,"Yes")&gt;0,"Overage - change order on file","Overage - CO not approved")),IF(N($H8)&gt;0,"Credit still owed to you","Settled"))))</f>
        <v/>
      </c>
    </row>
    <row r="9">
      <c r="A9" s="5" t="n"/>
      <c r="B9" s="5" t="n"/>
      <c r="C9" s="5" t="n"/>
      <c r="D9" s="12" t="n"/>
      <c r="E9" s="12" t="n"/>
      <c r="F9" s="11">
        <f>IF($A9="","",IF(OR($D9="",$E9=""),"",N($E9)-N($D9)))</f>
        <v/>
      </c>
      <c r="G9" s="12" t="n"/>
      <c r="H9" s="11">
        <f>IF($A9="","",IF(NOT(ISNUMBER($F9)),"",IF($F9&lt;0,MAX(0,-N($F9)-N($G9)),0)))</f>
        <v/>
      </c>
      <c r="I9" s="5" t="n"/>
      <c r="J9" s="14">
        <f>IF($A9="","",IF(NOT(ISNUMBER($F9)),"",IF($F9&gt;0,IF($I9="","Overage - no change order #",IF(COUNTIFS('Change Orders'!$A$2:$A$21,$I9,'Change Orders'!$F$2:$F$21,"Yes")&gt;0,"Overage - change order on file","Overage - CO not approved")),IF(N($H9)&gt;0,"Credit still owed to you","Settled"))))</f>
        <v/>
      </c>
    </row>
    <row r="10">
      <c r="A10" s="5" t="n"/>
      <c r="B10" s="5" t="n"/>
      <c r="C10" s="5" t="n"/>
      <c r="D10" s="12" t="n"/>
      <c r="E10" s="12" t="n"/>
      <c r="F10" s="11">
        <f>IF($A10="","",IF(OR($D10="",$E10=""),"",N($E10)-N($D10)))</f>
        <v/>
      </c>
      <c r="G10" s="12" t="n"/>
      <c r="H10" s="11">
        <f>IF($A10="","",IF(NOT(ISNUMBER($F10)),"",IF($F10&lt;0,MAX(0,-N($F10)-N($G10)),0)))</f>
        <v/>
      </c>
      <c r="I10" s="5" t="n"/>
      <c r="J10" s="14">
        <f>IF($A10="","",IF(NOT(ISNUMBER($F10)),"",IF($F10&gt;0,IF($I10="","Overage - no change order #",IF(COUNTIFS('Change Orders'!$A$2:$A$21,$I10,'Change Orders'!$F$2:$F$21,"Yes")&gt;0,"Overage - change order on file","Overage - CO not approved")),IF(N($H10)&gt;0,"Credit still owed to you","Settled"))))</f>
        <v/>
      </c>
    </row>
    <row r="11">
      <c r="A11" s="5" t="n"/>
      <c r="B11" s="5" t="n"/>
      <c r="C11" s="5" t="n"/>
      <c r="D11" s="12" t="n"/>
      <c r="E11" s="12" t="n"/>
      <c r="F11" s="11">
        <f>IF($A11="","",IF(OR($D11="",$E11=""),"",N($E11)-N($D11)))</f>
        <v/>
      </c>
      <c r="G11" s="12" t="n"/>
      <c r="H11" s="11">
        <f>IF($A11="","",IF(NOT(ISNUMBER($F11)),"",IF($F11&lt;0,MAX(0,-N($F11)-N($G11)),0)))</f>
        <v/>
      </c>
      <c r="I11" s="5" t="n"/>
      <c r="J11" s="14">
        <f>IF($A11="","",IF(NOT(ISNUMBER($F11)),"",IF($F11&gt;0,IF($I11="","Overage - no change order #",IF(COUNTIFS('Change Orders'!$A$2:$A$21,$I11,'Change Orders'!$F$2:$F$21,"Yes")&gt;0,"Overage - change order on file","Overage - CO not approved")),IF(N($H11)&gt;0,"Credit still owed to you","Settled"))))</f>
        <v/>
      </c>
    </row>
    <row r="12">
      <c r="A12" s="5" t="n"/>
      <c r="B12" s="5" t="n"/>
      <c r="C12" s="5" t="n"/>
      <c r="D12" s="12" t="n"/>
      <c r="E12" s="12" t="n"/>
      <c r="F12" s="11">
        <f>IF($A12="","",IF(OR($D12="",$E12=""),"",N($E12)-N($D12)))</f>
        <v/>
      </c>
      <c r="G12" s="12" t="n"/>
      <c r="H12" s="11">
        <f>IF($A12="","",IF(NOT(ISNUMBER($F12)),"",IF($F12&lt;0,MAX(0,-N($F12)-N($G12)),0)))</f>
        <v/>
      </c>
      <c r="I12" s="5" t="n"/>
      <c r="J12" s="14">
        <f>IF($A12="","",IF(NOT(ISNUMBER($F12)),"",IF($F12&gt;0,IF($I12="","Overage - no change order #",IF(COUNTIFS('Change Orders'!$A$2:$A$21,$I12,'Change Orders'!$F$2:$F$21,"Yes")&gt;0,"Overage - change order on file","Overage - CO not approved")),IF(N($H12)&gt;0,"Credit still owed to you","Settled"))))</f>
        <v/>
      </c>
    </row>
    <row r="13">
      <c r="A13" s="5" t="n"/>
      <c r="B13" s="5" t="n"/>
      <c r="C13" s="5" t="n"/>
      <c r="D13" s="12" t="n"/>
      <c r="E13" s="12" t="n"/>
      <c r="F13" s="11">
        <f>IF($A13="","",IF(OR($D13="",$E13=""),"",N($E13)-N($D13)))</f>
        <v/>
      </c>
      <c r="G13" s="12" t="n"/>
      <c r="H13" s="11">
        <f>IF($A13="","",IF(NOT(ISNUMBER($F13)),"",IF($F13&lt;0,MAX(0,-N($F13)-N($G13)),0)))</f>
        <v/>
      </c>
      <c r="I13" s="5" t="n"/>
      <c r="J13" s="14">
        <f>IF($A13="","",IF(NOT(ISNUMBER($F13)),"",IF($F13&gt;0,IF($I13="","Overage - no change order #",IF(COUNTIFS('Change Orders'!$A$2:$A$21,$I13,'Change Orders'!$F$2:$F$21,"Yes")&gt;0,"Overage - change order on file","Overage - CO not approved")),IF(N($H13)&gt;0,"Credit still owed to you","Settled"))))</f>
        <v/>
      </c>
    </row>
    <row r="14">
      <c r="A14" s="5" t="n"/>
      <c r="B14" s="5" t="n"/>
      <c r="C14" s="5" t="n"/>
      <c r="D14" s="12" t="n"/>
      <c r="E14" s="12" t="n"/>
      <c r="F14" s="11">
        <f>IF($A14="","",IF(OR($D14="",$E14=""),"",N($E14)-N($D14)))</f>
        <v/>
      </c>
      <c r="G14" s="12" t="n"/>
      <c r="H14" s="11">
        <f>IF($A14="","",IF(NOT(ISNUMBER($F14)),"",IF($F14&lt;0,MAX(0,-N($F14)-N($G14)),0)))</f>
        <v/>
      </c>
      <c r="I14" s="5" t="n"/>
      <c r="J14" s="14">
        <f>IF($A14="","",IF(NOT(ISNUMBER($F14)),"",IF($F14&gt;0,IF($I14="","Overage - no change order #",IF(COUNTIFS('Change Orders'!$A$2:$A$21,$I14,'Change Orders'!$F$2:$F$21,"Yes")&gt;0,"Overage - change order on file","Overage - CO not approved")),IF(N($H14)&gt;0,"Credit still owed to you","Settled"))))</f>
        <v/>
      </c>
    </row>
    <row r="15">
      <c r="A15" s="5" t="n"/>
      <c r="B15" s="5" t="n"/>
      <c r="C15" s="5" t="n"/>
      <c r="D15" s="12" t="n"/>
      <c r="E15" s="12" t="n"/>
      <c r="F15" s="11">
        <f>IF($A15="","",IF(OR($D15="",$E15=""),"",N($E15)-N($D15)))</f>
        <v/>
      </c>
      <c r="G15" s="12" t="n"/>
      <c r="H15" s="11">
        <f>IF($A15="","",IF(NOT(ISNUMBER($F15)),"",IF($F15&lt;0,MAX(0,-N($F15)-N($G15)),0)))</f>
        <v/>
      </c>
      <c r="I15" s="5" t="n"/>
      <c r="J15" s="14">
        <f>IF($A15="","",IF(NOT(ISNUMBER($F15)),"",IF($F15&gt;0,IF($I15="","Overage - no change order #",IF(COUNTIFS('Change Orders'!$A$2:$A$21,$I15,'Change Orders'!$F$2:$F$21,"Yes")&gt;0,"Overage - change order on file","Overage - CO not approved")),IF(N($H15)&gt;0,"Credit still owed to you","Settled"))))</f>
        <v/>
      </c>
    </row>
    <row r="16">
      <c r="A16" s="5" t="n"/>
      <c r="B16" s="5" t="n"/>
      <c r="C16" s="5" t="n"/>
      <c r="D16" s="12" t="n"/>
      <c r="E16" s="12" t="n"/>
      <c r="F16" s="11">
        <f>IF($A16="","",IF(OR($D16="",$E16=""),"",N($E16)-N($D16)))</f>
        <v/>
      </c>
      <c r="G16" s="12" t="n"/>
      <c r="H16" s="11">
        <f>IF($A16="","",IF(NOT(ISNUMBER($F16)),"",IF($F16&lt;0,MAX(0,-N($F16)-N($G16)),0)))</f>
        <v/>
      </c>
      <c r="I16" s="5" t="n"/>
      <c r="J16" s="14">
        <f>IF($A16="","",IF(NOT(ISNUMBER($F16)),"",IF($F16&gt;0,IF($I16="","Overage - no change order #",IF(COUNTIFS('Change Orders'!$A$2:$A$21,$I16,'Change Orders'!$F$2:$F$21,"Yes")&gt;0,"Overage - change order on file","Overage - CO not approved")),IF(N($H16)&gt;0,"Credit still owed to you","Settled"))))</f>
        <v/>
      </c>
    </row>
    <row r="17">
      <c r="A17" s="5" t="n"/>
      <c r="B17" s="5" t="n"/>
      <c r="C17" s="5" t="n"/>
      <c r="D17" s="12" t="n"/>
      <c r="E17" s="12" t="n"/>
      <c r="F17" s="11">
        <f>IF($A17="","",IF(OR($D17="",$E17=""),"",N($E17)-N($D17)))</f>
        <v/>
      </c>
      <c r="G17" s="12" t="n"/>
      <c r="H17" s="11">
        <f>IF($A17="","",IF(NOT(ISNUMBER($F17)),"",IF($F17&lt;0,MAX(0,-N($F17)-N($G17)),0)))</f>
        <v/>
      </c>
      <c r="I17" s="5" t="n"/>
      <c r="J17" s="14">
        <f>IF($A17="","",IF(NOT(ISNUMBER($F17)),"",IF($F17&gt;0,IF($I17="","Overage - no change order #",IF(COUNTIFS('Change Orders'!$A$2:$A$21,$I17,'Change Orders'!$F$2:$F$21,"Yes")&gt;0,"Overage - change order on file","Overage - CO not approved")),IF(N($H17)&gt;0,"Credit still owed to you","Settled"))))</f>
        <v/>
      </c>
    </row>
    <row r="18">
      <c r="A18" s="5" t="n"/>
      <c r="B18" s="5" t="n"/>
      <c r="C18" s="5" t="n"/>
      <c r="D18" s="12" t="n"/>
      <c r="E18" s="12" t="n"/>
      <c r="F18" s="11">
        <f>IF($A18="","",IF(OR($D18="",$E18=""),"",N($E18)-N($D18)))</f>
        <v/>
      </c>
      <c r="G18" s="12" t="n"/>
      <c r="H18" s="11">
        <f>IF($A18="","",IF(NOT(ISNUMBER($F18)),"",IF($F18&lt;0,MAX(0,-N($F18)-N($G18)),0)))</f>
        <v/>
      </c>
      <c r="I18" s="5" t="n"/>
      <c r="J18" s="14">
        <f>IF($A18="","",IF(NOT(ISNUMBER($F18)),"",IF($F18&gt;0,IF($I18="","Overage - no change order #",IF(COUNTIFS('Change Orders'!$A$2:$A$21,$I18,'Change Orders'!$F$2:$F$21,"Yes")&gt;0,"Overage - change order on file","Overage - CO not approved")),IF(N($H18)&gt;0,"Credit still owed to you","Settled"))))</f>
        <v/>
      </c>
    </row>
    <row r="19">
      <c r="A19" s="5" t="n"/>
      <c r="B19" s="5" t="n"/>
      <c r="C19" s="5" t="n"/>
      <c r="D19" s="12" t="n"/>
      <c r="E19" s="12" t="n"/>
      <c r="F19" s="11">
        <f>IF($A19="","",IF(OR($D19="",$E19=""),"",N($E19)-N($D19)))</f>
        <v/>
      </c>
      <c r="G19" s="12" t="n"/>
      <c r="H19" s="11">
        <f>IF($A19="","",IF(NOT(ISNUMBER($F19)),"",IF($F19&lt;0,MAX(0,-N($F19)-N($G19)),0)))</f>
        <v/>
      </c>
      <c r="I19" s="5" t="n"/>
      <c r="J19" s="14">
        <f>IF($A19="","",IF(NOT(ISNUMBER($F19)),"",IF($F19&gt;0,IF($I19="","Overage - no change order #",IF(COUNTIFS('Change Orders'!$A$2:$A$21,$I19,'Change Orders'!$F$2:$F$21,"Yes")&gt;0,"Overage - change order on file","Overage - CO not approved")),IF(N($H19)&gt;0,"Credit still owed to you","Settled"))))</f>
        <v/>
      </c>
    </row>
    <row r="20">
      <c r="A20" s="5" t="n"/>
      <c r="B20" s="5" t="n"/>
      <c r="C20" s="5" t="n"/>
      <c r="D20" s="12" t="n"/>
      <c r="E20" s="12" t="n"/>
      <c r="F20" s="11">
        <f>IF($A20="","",IF(OR($D20="",$E20=""),"",N($E20)-N($D20)))</f>
        <v/>
      </c>
      <c r="G20" s="12" t="n"/>
      <c r="H20" s="11">
        <f>IF($A20="","",IF(NOT(ISNUMBER($F20)),"",IF($F20&lt;0,MAX(0,-N($F20)-N($G20)),0)))</f>
        <v/>
      </c>
      <c r="I20" s="5" t="n"/>
      <c r="J20" s="14">
        <f>IF($A20="","",IF(NOT(ISNUMBER($F20)),"",IF($F20&gt;0,IF($I20="","Overage - no change order #",IF(COUNTIFS('Change Orders'!$A$2:$A$21,$I20,'Change Orders'!$F$2:$F$21,"Yes")&gt;0,"Overage - change order on file","Overage - CO not approved")),IF(N($H20)&gt;0,"Credit still owed to you","Settled"))))</f>
        <v/>
      </c>
    </row>
    <row r="21">
      <c r="A21" s="5" t="n"/>
      <c r="B21" s="5" t="n"/>
      <c r="C21" s="5" t="n"/>
      <c r="D21" s="12" t="n"/>
      <c r="E21" s="12" t="n"/>
      <c r="F21" s="12" t="n"/>
      <c r="G21" s="12" t="n"/>
      <c r="H21" s="12" t="n"/>
      <c r="I21" s="5" t="n"/>
      <c r="J21" s="5" t="n"/>
    </row>
  </sheetData>
  <dataValidations count="1">
    <dataValidation sqref="D2:D21 E2:E21 G2:G21" showDropDown="0" showInputMessage="0" showErrorMessage="1" allowBlank="1" errorTitle="Amount" error="Enter 0 or more.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8" customWidth="1" min="3" max="3"/>
    <col width="14" customWidth="1" min="4" max="4"/>
    <col width="16" customWidth="1" min="5" max="5"/>
    <col width="46" customWidth="1" min="6" max="6"/>
  </cols>
  <sheetData>
    <row r="1">
      <c r="A1" s="4" t="inlineStr">
        <is>
          <t>Date</t>
        </is>
      </c>
      <c r="B1" s="4" t="inlineStr">
        <is>
          <t>Line</t>
        </is>
      </c>
      <c r="C1" s="4" t="inlineStr">
        <is>
          <t>Paid to</t>
        </is>
      </c>
      <c r="D1" s="4" t="inlineStr">
        <is>
          <t>Amount</t>
        </is>
      </c>
      <c r="E1" s="4" t="inlineStr">
        <is>
          <t>Method</t>
        </is>
      </c>
      <c r="F1" s="4" t="inlineStr">
        <is>
          <t>Note</t>
        </is>
      </c>
    </row>
    <row r="2">
      <c r="A2" s="13" t="inlineStr">
        <is>
          <t>2026-05-06</t>
        </is>
      </c>
      <c r="B2" s="8" t="inlineStr">
        <is>
          <t>K-01</t>
        </is>
      </c>
      <c r="C2" s="8" t="inlineStr">
        <is>
          <t>Demo crew</t>
        </is>
      </c>
      <c r="D2" s="10" t="n">
        <v>1400</v>
      </c>
      <c r="E2" s="8" t="inlineStr">
        <is>
          <t>Bank transfer</t>
        </is>
      </c>
      <c r="F2" s="8" t="inlineStr">
        <is>
          <t>50% deposit</t>
        </is>
      </c>
    </row>
    <row r="3">
      <c r="A3" s="13" t="inlineStr">
        <is>
          <t>2026-05-18</t>
        </is>
      </c>
      <c r="B3" s="8" t="inlineStr">
        <is>
          <t>K-02</t>
        </is>
      </c>
      <c r="C3" s="8" t="inlineStr">
        <is>
          <t>Cabinet supplier</t>
        </is>
      </c>
      <c r="D3" s="10" t="n">
        <v>6250</v>
      </c>
      <c r="E3" s="8" t="inlineStr">
        <is>
          <t>Card</t>
        </is>
      </c>
      <c r="F3" s="8" t="inlineStr">
        <is>
          <t>50% on order</t>
        </is>
      </c>
    </row>
    <row r="4">
      <c r="A4" s="13" t="inlineStr">
        <is>
          <t>2026-05-22</t>
        </is>
      </c>
      <c r="B4" s="8" t="inlineStr">
        <is>
          <t>K-03</t>
        </is>
      </c>
      <c r="C4" s="8" t="inlineStr">
        <is>
          <t>Stone fabricator</t>
        </is>
      </c>
      <c r="D4" s="10" t="n">
        <v>2250</v>
      </c>
      <c r="E4" s="8" t="inlineStr">
        <is>
          <t>Bank transfer</t>
        </is>
      </c>
      <c r="F4" s="8" t="inlineStr">
        <is>
          <t>30% on template</t>
        </is>
      </c>
    </row>
    <row r="5">
      <c r="A5" s="13" t="inlineStr">
        <is>
          <t>2026-06-01</t>
        </is>
      </c>
      <c r="B5" s="8" t="inlineStr">
        <is>
          <t>K-05</t>
        </is>
      </c>
      <c r="C5" s="8" t="inlineStr">
        <is>
          <t>Electrician</t>
        </is>
      </c>
      <c r="D5" s="10" t="n">
        <v>2400</v>
      </c>
      <c r="E5" s="8" t="inlineStr">
        <is>
          <t>Bank transfer</t>
        </is>
      </c>
      <c r="F5" s="8" t="inlineStr">
        <is>
          <t>First invoice</t>
        </is>
      </c>
    </row>
    <row r="6">
      <c r="A6" s="13" t="inlineStr">
        <is>
          <t>2026-05-02</t>
        </is>
      </c>
      <c r="B6" s="8" t="inlineStr">
        <is>
          <t>K-07</t>
        </is>
      </c>
      <c r="C6" s="8" t="inlineStr">
        <is>
          <t>City permits office</t>
        </is>
      </c>
      <c r="D6" s="10" t="n">
        <v>1200</v>
      </c>
      <c r="E6" s="8" t="inlineStr">
        <is>
          <t>Card</t>
        </is>
      </c>
      <c r="F6" s="8" t="inlineStr">
        <is>
          <t>Permit issued</t>
        </is>
      </c>
    </row>
    <row r="7">
      <c r="A7" s="13" t="inlineStr">
        <is>
          <t>2026-06-02</t>
        </is>
      </c>
      <c r="B7" s="8" t="inlineStr">
        <is>
          <t>K-09</t>
        </is>
      </c>
      <c r="C7" s="8" t="inlineStr">
        <is>
          <t>Project manager</t>
        </is>
      </c>
      <c r="D7" s="10" t="n">
        <v>2800</v>
      </c>
      <c r="E7" s="8" t="inlineStr">
        <is>
          <t>Bank transfer</t>
        </is>
      </c>
      <c r="F7" s="8" t="inlineStr">
        <is>
          <t>Final fee</t>
        </is>
      </c>
    </row>
    <row r="8">
      <c r="A8" s="7" t="n"/>
      <c r="B8" s="5" t="n"/>
      <c r="C8" s="5" t="n"/>
      <c r="D8" s="12" t="n"/>
      <c r="E8" s="5" t="n"/>
      <c r="F8" s="5" t="n"/>
    </row>
    <row r="9">
      <c r="A9" s="7" t="n"/>
      <c r="B9" s="5" t="n"/>
      <c r="C9" s="5" t="n"/>
      <c r="D9" s="12" t="n"/>
      <c r="E9" s="5" t="n"/>
      <c r="F9" s="5" t="n"/>
    </row>
    <row r="10">
      <c r="A10" s="7" t="n"/>
      <c r="B10" s="5" t="n"/>
      <c r="C10" s="5" t="n"/>
      <c r="D10" s="12" t="n"/>
      <c r="E10" s="5" t="n"/>
      <c r="F10" s="5" t="n"/>
    </row>
    <row r="11">
      <c r="A11" s="7" t="n"/>
      <c r="B11" s="5" t="n"/>
      <c r="C11" s="5" t="n"/>
      <c r="D11" s="12" t="n"/>
      <c r="E11" s="5" t="n"/>
      <c r="F11" s="5" t="n"/>
    </row>
    <row r="12">
      <c r="A12" s="7" t="n"/>
      <c r="B12" s="5" t="n"/>
      <c r="C12" s="5" t="n"/>
      <c r="D12" s="12" t="n"/>
      <c r="E12" s="5" t="n"/>
      <c r="F12" s="5" t="n"/>
    </row>
    <row r="13">
      <c r="A13" s="7" t="n"/>
      <c r="B13" s="5" t="n"/>
      <c r="C13" s="5" t="n"/>
      <c r="D13" s="12" t="n"/>
      <c r="E13" s="5" t="n"/>
      <c r="F13" s="5" t="n"/>
    </row>
    <row r="14">
      <c r="A14" s="7" t="n"/>
      <c r="B14" s="5" t="n"/>
      <c r="C14" s="5" t="n"/>
      <c r="D14" s="12" t="n"/>
      <c r="E14" s="5" t="n"/>
      <c r="F14" s="5" t="n"/>
    </row>
    <row r="15">
      <c r="A15" s="7" t="n"/>
      <c r="B15" s="5" t="n"/>
      <c r="C15" s="5" t="n"/>
      <c r="D15" s="12" t="n"/>
      <c r="E15" s="5" t="n"/>
      <c r="F15" s="5" t="n"/>
    </row>
    <row r="16">
      <c r="A16" s="7" t="n"/>
      <c r="B16" s="5" t="n"/>
      <c r="C16" s="5" t="n"/>
      <c r="D16" s="12" t="n"/>
      <c r="E16" s="5" t="n"/>
      <c r="F16" s="5" t="n"/>
    </row>
    <row r="17">
      <c r="A17" s="7" t="n"/>
      <c r="B17" s="5" t="n"/>
      <c r="C17" s="5" t="n"/>
      <c r="D17" s="12" t="n"/>
      <c r="E17" s="5" t="n"/>
      <c r="F17" s="5" t="n"/>
    </row>
    <row r="18">
      <c r="A18" s="7" t="n"/>
      <c r="B18" s="5" t="n"/>
      <c r="C18" s="5" t="n"/>
      <c r="D18" s="12" t="n"/>
      <c r="E18" s="5" t="n"/>
      <c r="F18" s="5" t="n"/>
    </row>
    <row r="19">
      <c r="A19" s="7" t="n"/>
      <c r="B19" s="5" t="n"/>
      <c r="C19" s="5" t="n"/>
      <c r="D19" s="12" t="n"/>
      <c r="E19" s="5" t="n"/>
      <c r="F19" s="5" t="n"/>
    </row>
    <row r="20">
      <c r="A20" s="7" t="n"/>
      <c r="B20" s="5" t="n"/>
      <c r="C20" s="5" t="n"/>
      <c r="D20" s="12" t="n"/>
      <c r="E20" s="5" t="n"/>
      <c r="F20" s="5" t="n"/>
    </row>
    <row r="21">
      <c r="A21" s="7" t="n"/>
      <c r="B21" s="5" t="n"/>
      <c r="C21" s="5" t="n"/>
      <c r="D21" s="12" t="n"/>
      <c r="E21" s="5" t="n"/>
      <c r="F21" s="5" t="n"/>
    </row>
    <row r="22">
      <c r="A22" s="7" t="n"/>
      <c r="B22" s="5" t="n"/>
      <c r="C22" s="5" t="n"/>
      <c r="D22" s="12" t="n"/>
      <c r="E22" s="5" t="n"/>
      <c r="F22" s="5" t="n"/>
    </row>
    <row r="23">
      <c r="A23" s="7" t="n"/>
      <c r="B23" s="5" t="n"/>
      <c r="C23" s="5" t="n"/>
      <c r="D23" s="12" t="n"/>
      <c r="E23" s="5" t="n"/>
      <c r="F23" s="5" t="n"/>
    </row>
    <row r="24">
      <c r="A24" s="7" t="n"/>
      <c r="B24" s="5" t="n"/>
      <c r="C24" s="5" t="n"/>
      <c r="D24" s="12" t="n"/>
      <c r="E24" s="5" t="n"/>
      <c r="F24" s="5" t="n"/>
    </row>
    <row r="25">
      <c r="A25" s="7" t="n"/>
      <c r="B25" s="5" t="n"/>
      <c r="C25" s="5" t="n"/>
      <c r="D25" s="12" t="n"/>
      <c r="E25" s="5" t="n"/>
      <c r="F25" s="5" t="n"/>
    </row>
    <row r="26">
      <c r="A26" s="7" t="n"/>
      <c r="B26" s="5" t="n"/>
      <c r="C26" s="5" t="n"/>
      <c r="D26" s="12" t="n"/>
      <c r="E26" s="5" t="n"/>
      <c r="F26" s="5" t="n"/>
    </row>
    <row r="27">
      <c r="A27" s="7" t="n"/>
      <c r="B27" s="5" t="n"/>
      <c r="C27" s="5" t="n"/>
      <c r="D27" s="12" t="n"/>
      <c r="E27" s="5" t="n"/>
      <c r="F27" s="5" t="n"/>
    </row>
    <row r="28">
      <c r="A28" s="7" t="n"/>
      <c r="B28" s="5" t="n"/>
      <c r="C28" s="5" t="n"/>
      <c r="D28" s="12" t="n"/>
      <c r="E28" s="5" t="n"/>
      <c r="F28" s="5" t="n"/>
    </row>
    <row r="29">
      <c r="A29" s="7" t="n"/>
      <c r="B29" s="5" t="n"/>
      <c r="C29" s="5" t="n"/>
      <c r="D29" s="12" t="n"/>
      <c r="E29" s="5" t="n"/>
      <c r="F29" s="5" t="n"/>
    </row>
    <row r="30">
      <c r="A30" s="7" t="n"/>
      <c r="B30" s="5" t="n"/>
      <c r="C30" s="5" t="n"/>
      <c r="D30" s="12" t="n"/>
      <c r="E30" s="5" t="n"/>
      <c r="F30" s="5" t="n"/>
    </row>
    <row r="31">
      <c r="A31" s="7" t="n"/>
      <c r="B31" s="5" t="n"/>
      <c r="C31" s="5" t="n"/>
      <c r="D31" s="12" t="n"/>
      <c r="E31" s="5" t="n"/>
      <c r="F31" s="5" t="n"/>
    </row>
  </sheetData>
  <dataValidations count="1">
    <dataValidation sqref="D2:D31" showDropDown="0" showInputMessage="0" showErrorMessage="1" allowBlank="1" errorTitle="Amount" error="Enter the amount paid, more than 0." type="decimal" operator="greaterThan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4" customWidth="1" min="3" max="3"/>
    <col width="14" customWidth="1" min="4" max="4"/>
    <col width="40" customWidth="1" min="5" max="5"/>
  </cols>
  <sheetData>
    <row r="1">
      <c r="A1" s="4" t="inlineStr">
        <is>
          <t>Date</t>
        </is>
      </c>
      <c r="B1" s="4" t="inlineStr">
        <is>
          <t>What the reserve paid for</t>
        </is>
      </c>
      <c r="C1" s="4" t="inlineStr">
        <is>
          <t>Amount</t>
        </is>
      </c>
      <c r="D1" s="4" t="inlineStr">
        <is>
          <t>Approved by</t>
        </is>
      </c>
      <c r="E1" s="4" t="inlineStr">
        <is>
          <t>Note</t>
        </is>
      </c>
      <c r="G1" s="15" t="inlineStr">
        <is>
          <t>Reserve remaining</t>
        </is>
      </c>
      <c r="H1" s="15" t="inlineStr">
        <is>
          <t>Drawn so far</t>
        </is>
      </c>
    </row>
    <row r="2">
      <c r="A2" s="13" t="inlineStr">
        <is>
          <t>2026-05-12</t>
        </is>
      </c>
      <c r="B2" s="8" t="inlineStr">
        <is>
          <t>Hidden rot behind the sink wall</t>
        </is>
      </c>
      <c r="C2" s="10" t="n">
        <v>900</v>
      </c>
      <c r="D2" s="8" t="inlineStr">
        <is>
          <t>Owner</t>
        </is>
      </c>
      <c r="E2" s="8" t="inlineStr">
        <is>
          <t>Photos filed</t>
        </is>
      </c>
      <c r="G2" s="16">
        <f>IF(Setup!$B$5="","",N(Setup!$B$5)-SUM($C$2:$C$21))</f>
        <v/>
      </c>
      <c r="H2" s="16">
        <f>SUM($C$2:$C$21)</f>
        <v/>
      </c>
    </row>
    <row r="3">
      <c r="A3" s="13" t="inlineStr">
        <is>
          <t>2026-06-03</t>
        </is>
      </c>
      <c r="B3" s="8" t="inlineStr">
        <is>
          <t>Code-required outlet upgrade</t>
        </is>
      </c>
      <c r="C3" s="10" t="n">
        <v>1200</v>
      </c>
      <c r="D3" s="8" t="inlineStr">
        <is>
          <t>Owner</t>
        </is>
      </c>
      <c r="E3" s="8" t="inlineStr">
        <is>
          <t>Electrician letter filed</t>
        </is>
      </c>
    </row>
    <row r="4">
      <c r="A4" s="7" t="n"/>
      <c r="B4" s="5" t="n"/>
      <c r="C4" s="12" t="n"/>
      <c r="D4" s="5" t="n"/>
      <c r="E4" s="5" t="n"/>
    </row>
    <row r="5">
      <c r="A5" s="7" t="n"/>
      <c r="B5" s="5" t="n"/>
      <c r="C5" s="12" t="n"/>
      <c r="D5" s="5" t="n"/>
      <c r="E5" s="5" t="n"/>
    </row>
    <row r="6">
      <c r="A6" s="7" t="n"/>
      <c r="B6" s="5" t="n"/>
      <c r="C6" s="12" t="n"/>
      <c r="D6" s="5" t="n"/>
      <c r="E6" s="5" t="n"/>
    </row>
    <row r="7">
      <c r="A7" s="7" t="n"/>
      <c r="B7" s="5" t="n"/>
      <c r="C7" s="12" t="n"/>
      <c r="D7" s="5" t="n"/>
      <c r="E7" s="5" t="n"/>
    </row>
    <row r="8">
      <c r="A8" s="7" t="n"/>
      <c r="B8" s="5" t="n"/>
      <c r="C8" s="12" t="n"/>
      <c r="D8" s="5" t="n"/>
      <c r="E8" s="5" t="n"/>
    </row>
    <row r="9">
      <c r="A9" s="7" t="n"/>
      <c r="B9" s="5" t="n"/>
      <c r="C9" s="12" t="n"/>
      <c r="D9" s="5" t="n"/>
      <c r="E9" s="5" t="n"/>
    </row>
    <row r="10">
      <c r="A10" s="7" t="n"/>
      <c r="B10" s="5" t="n"/>
      <c r="C10" s="12" t="n"/>
      <c r="D10" s="5" t="n"/>
      <c r="E10" s="5" t="n"/>
    </row>
    <row r="11">
      <c r="A11" s="7" t="n"/>
      <c r="B11" s="5" t="n"/>
      <c r="C11" s="12" t="n"/>
      <c r="D11" s="5" t="n"/>
      <c r="E11" s="5" t="n"/>
    </row>
    <row r="12">
      <c r="A12" s="7" t="n"/>
      <c r="B12" s="5" t="n"/>
      <c r="C12" s="12" t="n"/>
      <c r="D12" s="5" t="n"/>
      <c r="E12" s="5" t="n"/>
    </row>
    <row r="13">
      <c r="A13" s="7" t="n"/>
      <c r="B13" s="5" t="n"/>
      <c r="C13" s="12" t="n"/>
      <c r="D13" s="5" t="n"/>
      <c r="E13" s="5" t="n"/>
    </row>
    <row r="14">
      <c r="A14" s="7" t="n"/>
      <c r="B14" s="5" t="n"/>
      <c r="C14" s="12" t="n"/>
      <c r="D14" s="5" t="n"/>
      <c r="E14" s="5" t="n"/>
    </row>
    <row r="15">
      <c r="A15" s="7" t="n"/>
      <c r="B15" s="5" t="n"/>
      <c r="C15" s="12" t="n"/>
      <c r="D15" s="5" t="n"/>
      <c r="E15" s="5" t="n"/>
    </row>
    <row r="16">
      <c r="A16" s="7" t="n"/>
      <c r="B16" s="5" t="n"/>
      <c r="C16" s="12" t="n"/>
      <c r="D16" s="5" t="n"/>
      <c r="E16" s="5" t="n"/>
    </row>
    <row r="17">
      <c r="A17" s="7" t="n"/>
      <c r="B17" s="5" t="n"/>
      <c r="C17" s="12" t="n"/>
      <c r="D17" s="5" t="n"/>
      <c r="E17" s="5" t="n"/>
    </row>
    <row r="18">
      <c r="A18" s="7" t="n"/>
      <c r="B18" s="5" t="n"/>
      <c r="C18" s="12" t="n"/>
      <c r="D18" s="5" t="n"/>
      <c r="E18" s="5" t="n"/>
    </row>
    <row r="19">
      <c r="A19" s="7" t="n"/>
      <c r="B19" s="5" t="n"/>
      <c r="C19" s="12" t="n"/>
      <c r="D19" s="5" t="n"/>
      <c r="E19" s="5" t="n"/>
    </row>
    <row r="20">
      <c r="A20" s="7" t="n"/>
      <c r="B20" s="5" t="n"/>
      <c r="C20" s="12" t="n"/>
      <c r="D20" s="5" t="n"/>
      <c r="E20" s="5" t="n"/>
    </row>
    <row r="21">
      <c r="A21" s="7" t="n"/>
      <c r="B21" s="5" t="n"/>
      <c r="C21" s="12" t="n"/>
      <c r="D21" s="5" t="n"/>
      <c r="E21" s="5" t="n"/>
    </row>
  </sheetData>
  <dataValidations count="1">
    <dataValidation sqref="C2:C21" showDropDown="0" showInputMessage="0" showErrorMessage="1" allowBlank="1" errorTitle="Amount" error="Enter the amount drawn, more than 0." type="decimal" operator="greaterThan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8" customWidth="1" min="3" max="3"/>
    <col width="18" customWidth="1" min="4" max="4"/>
    <col width="46" customWidth="1" min="5" max="5"/>
  </cols>
  <sheetData>
    <row r="1">
      <c r="A1" s="4" t="inlineStr">
        <is>
          <t>#</t>
        </is>
      </c>
      <c r="B1" s="4" t="inlineStr">
        <is>
          <t>Type</t>
        </is>
      </c>
      <c r="C1" s="4" t="inlineStr">
        <is>
          <t>Statement</t>
        </is>
      </c>
      <c r="D1" s="4" t="inlineStr">
        <is>
          <t>Where it lives</t>
        </is>
      </c>
      <c r="E1" s="4" t="inlineStr">
        <is>
          <t>Owner's note</t>
        </is>
      </c>
    </row>
    <row r="2">
      <c r="A2" s="8" t="inlineStr">
        <is>
          <t>1</t>
        </is>
      </c>
      <c r="B2" s="8" t="inlineStr">
        <is>
          <t>Excluded</t>
        </is>
      </c>
      <c r="C2" s="8" t="inlineStr">
        <is>
          <t>Temporary storage and rental furniture</t>
        </is>
      </c>
      <c r="D2" s="8" t="inlineStr">
        <is>
          <t>Not in any line</t>
        </is>
      </c>
      <c r="E2" s="8" t="inlineStr">
        <is>
          <t>Add a line if this becomes real</t>
        </is>
      </c>
    </row>
    <row r="3">
      <c r="A3" s="8" t="inlineStr">
        <is>
          <t>2</t>
        </is>
      </c>
      <c r="B3" s="8" t="inlineStr">
        <is>
          <t>Excluded</t>
        </is>
      </c>
      <c r="C3" s="8" t="inlineStr">
        <is>
          <t>Landscaping and exterior work</t>
        </is>
      </c>
      <c r="D3" s="8" t="inlineStr">
        <is>
          <t>Out of scope this phase</t>
        </is>
      </c>
      <c r="E3" s="8" t="inlineStr"/>
    </row>
    <row r="4">
      <c r="A4" s="8" t="inlineStr">
        <is>
          <t>3</t>
        </is>
      </c>
      <c r="B4" s="8" t="inlineStr">
        <is>
          <t>Assumption</t>
        </is>
      </c>
      <c r="C4" s="8" t="inlineStr">
        <is>
          <t>Owner supplies appliances at retail price</t>
        </is>
      </c>
      <c r="D4" s="8" t="inlineStr"/>
      <c r="E4" s="8" t="inlineStr">
        <is>
          <t>Quotes may move</t>
        </is>
      </c>
    </row>
    <row r="5">
      <c r="A5" s="8" t="inlineStr">
        <is>
          <t>4</t>
        </is>
      </c>
      <c r="B5" s="8" t="inlineStr">
        <is>
          <t>Allowance</t>
        </is>
      </c>
      <c r="C5" s="8" t="inlineStr">
        <is>
          <t>Countertops priced at $7,500 until the slab is chosen</t>
        </is>
      </c>
      <c r="D5" s="8" t="inlineStr">
        <is>
          <t>A-01</t>
        </is>
      </c>
      <c r="E5" s="8" t="inlineStr">
        <is>
          <t>Reconcile in Allowances</t>
        </is>
      </c>
    </row>
    <row r="6">
      <c r="A6" s="8" t="inlineStr">
        <is>
          <t>5</t>
        </is>
      </c>
      <c r="B6" s="8" t="inlineStr">
        <is>
          <t>Risk</t>
        </is>
      </c>
      <c r="C6" s="8" t="inlineStr">
        <is>
          <t>House built before 1980 - hidden conditions likely</t>
        </is>
      </c>
      <c r="D6" s="8" t="inlineStr"/>
      <c r="E6" s="8" t="inlineStr">
        <is>
          <t>Reserve sized at 10%; structural work may justify 25-30%</t>
        </is>
      </c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62" customWidth="1" min="1" max="1"/>
    <col width="54" customWidth="1" min="2" max="2"/>
  </cols>
  <sheetData>
    <row r="1">
      <c r="A1" s="17" t="inlineStr">
        <is>
          <t>Renovation cost control - summary</t>
        </is>
      </c>
    </row>
    <row r="2">
      <c r="A2" s="18">
        <f>IF(Setup!$B$3="","(project name not set)",Setup!$B$3)</f>
        <v/>
      </c>
    </row>
    <row r="3"/>
    <row r="4">
      <c r="A4" s="19" t="inlineStr">
        <is>
          <t>Original budget (sum of lines)</t>
        </is>
      </c>
      <c r="B4" s="16">
        <f>SUM('Cost Control'!$D$2:$D$41)</f>
        <v/>
      </c>
    </row>
    <row r="5">
      <c r="A5" s="19" t="inlineStr">
        <is>
          <t>Approved change orders</t>
        </is>
      </c>
      <c r="B5" s="16">
        <f>SUM('Change Orders'!$G$2:$G$21)</f>
        <v/>
      </c>
    </row>
    <row r="6">
      <c r="A6" s="19" t="inlineStr">
        <is>
          <t>Revised budget</t>
        </is>
      </c>
      <c r="B6" s="16">
        <f>B4+B5</f>
        <v/>
      </c>
    </row>
    <row r="7">
      <c r="A7" s="19" t="inlineStr">
        <is>
          <t>Committed total</t>
        </is>
      </c>
      <c r="B7" s="16">
        <f>SUM('Cost Control'!$H$2:$H$41)</f>
        <v/>
      </c>
    </row>
    <row r="8">
      <c r="A8" s="19" t="inlineStr">
        <is>
          <t>Paid to date</t>
        </is>
      </c>
      <c r="B8" s="16">
        <f>SUM('Cost Control'!$I$2:$I$41)</f>
        <v/>
      </c>
    </row>
    <row r="9">
      <c r="A9" s="19" t="inlineStr">
        <is>
          <t>Unpaid committed</t>
        </is>
      </c>
      <c r="B9" s="16">
        <f>SUM('Cost Control'!$J$2:$J$41)</f>
        <v/>
      </c>
    </row>
    <row r="10">
      <c r="A10" s="19" t="inlineStr">
        <is>
          <t>Forecast to complete</t>
        </is>
      </c>
      <c r="B10" s="16">
        <f>SUM('Cost Control'!$K$2:$K$41)</f>
        <v/>
      </c>
    </row>
    <row r="11">
      <c r="A11" s="19" t="inlineStr">
        <is>
          <t>Projected final cost</t>
        </is>
      </c>
      <c r="B11" s="16">
        <f>SUM('Cost Control'!$L$2:$L$41)</f>
        <v/>
      </c>
    </row>
    <row r="12">
      <c r="A12" s="19" t="inlineStr">
        <is>
          <t>Variance vs revised budget</t>
        </is>
      </c>
      <c r="B12" s="16">
        <f>B6-B11</f>
        <v/>
      </c>
    </row>
    <row r="13">
      <c r="A13" s="19" t="inlineStr">
        <is>
          <t>Committed as % of revised budget</t>
        </is>
      </c>
      <c r="B13" s="20">
        <f>IF(B6=0,"",B7/B6)</f>
        <v/>
      </c>
    </row>
    <row r="14">
      <c r="A14" s="19" t="inlineStr">
        <is>
          <t>Contingency reserve remaining</t>
        </is>
      </c>
      <c r="B14" s="16">
        <f>Contingency!$G$2</f>
        <v/>
      </c>
    </row>
    <row r="15">
      <c r="A15" s="19" t="inlineStr">
        <is>
          <t>Allowance overruns (all)</t>
        </is>
      </c>
      <c r="B15" s="16">
        <f>SUMIF(Allowances!$F$2:$F$21,"&gt;0")</f>
        <v/>
      </c>
    </row>
    <row r="16">
      <c r="A16" s="19" t="inlineStr">
        <is>
          <t>Allowance credits still owed to you</t>
        </is>
      </c>
      <c r="B16" s="16">
        <f>SUM(Allowances!$H$2:$H$21)</f>
        <v/>
      </c>
    </row>
    <row r="17">
      <c r="A17" s="19" t="inlineStr">
        <is>
          <t>Change orders awaiting signature</t>
        </is>
      </c>
      <c r="B17" s="21">
        <f>COUNTIF('Change Orders'!$F$2:$F$21,"No")</f>
        <v/>
      </c>
    </row>
    <row r="18">
      <c r="A18" s="19" t="inlineStr">
        <is>
          <t>Lines already over their revised budget</t>
        </is>
      </c>
      <c r="B18" s="21">
        <f>COUNTIF('Cost Control'!$N$2:$N$41,"OVER")</f>
        <v/>
      </c>
    </row>
    <row r="19">
      <c r="A19" s="19" t="inlineStr">
        <is>
          <t>All-in plan (revised budget + reserve)</t>
        </is>
      </c>
      <c r="B19" s="16">
        <f>B6+B14</f>
        <v/>
      </c>
    </row>
    <row r="20"/>
    <row r="21">
      <c r="A21" s="22" t="inlineStr">
        <is>
          <t>Checks - fix anything that is not OK</t>
        </is>
      </c>
    </row>
    <row r="22">
      <c r="A22" t="inlineStr">
        <is>
          <t>Any payment recorded against a line that does not exist?</t>
        </is>
      </c>
      <c r="B22" s="23">
        <f>IF(SUMPRODUCT((Payments!$D$2:$D$31&lt;&gt;"")*(COUNTIF('Cost Control'!$A$2:$A$41,Payments!$B$2:$B$31)=0))&gt;0,"FIX: payment against an unknown line","OK")</f>
        <v/>
      </c>
    </row>
    <row r="23">
      <c r="A23" t="inlineStr">
        <is>
          <t>Any allowance overage with no approved change order?</t>
        </is>
      </c>
      <c r="B23" s="23">
        <f>IF(COUNTIF(Allowances!$J$2:$J$21,"Overage - no change order #")+COUNTIF(Allowances!$J$2:$J$21,"Overage - CO not approved")&gt;0,"FIX: "&amp;COUNTIF(Allowances!$J$2:$J$21,"Overage - no change order #")+COUNTIF(Allowances!$J$2:$J$21,"Overage - CO not approved")&amp;" overage(s) with no approved change order","OK")</f>
        <v/>
      </c>
    </row>
    <row r="24">
      <c r="A24" t="inlineStr">
        <is>
          <t>Paid more than committed on any line?</t>
        </is>
      </c>
      <c r="B24" s="23">
        <f>IF(SUMPRODUCT(('Cost Control'!$I$2:$I$41&gt;'Cost Control'!$H$2:$H$41)*('Cost Control'!$A$2:$A$41&lt;&gt;""))&gt;0,"FIX: paid exceeds committed - check the line","OK")</f>
        <v/>
      </c>
    </row>
    <row r="25">
      <c r="A25" t="inlineStr">
        <is>
          <t>Projected final over revised budget?</t>
        </is>
      </c>
      <c r="B25" s="23">
        <f>IF(B12&lt;0,"OVER by "&amp;TEXT(-B12,"$#,##0"),"Within revised budget")</f>
        <v/>
      </c>
    </row>
    <row r="26">
      <c r="A26" t="inlineStr">
        <is>
          <t>Contingency reserve exhausted?</t>
        </is>
      </c>
      <c r="B26" s="23">
        <f>IF(B14&lt;=0,"Reserve is gone - approve no more draws","Reserve still available")</f>
        <v/>
      </c>
    </row>
    <row r="27">
      <c r="A27" t="inlineStr">
        <is>
          <t>Remaining spend larger than what is left in the revised budget?</t>
        </is>
      </c>
      <c r="B27" s="23">
        <f>IF((B9+B10)&gt;(B6-B8),"OVER-COMMITTED: remaining spend exceeds budget left","Remaining spend fits the budget")</f>
        <v/>
      </c>
    </row>
    <row r="28">
      <c r="A28" t="inlineStr">
        <is>
          <t>Any change order still marked No?</t>
        </is>
      </c>
      <c r="B28" s="23">
        <f>IF(B17&gt;0,"Do not let the work proceed on an unsigned change","None pending")</f>
        <v/>
      </c>
    </row>
    <row r="29">
      <c r="A29" t="inlineStr">
        <is>
          <t>Any line with no original budget?</t>
        </is>
      </c>
      <c r="B29" s="23">
        <f>IF(SUMPRODUCT(('Cost Control'!$A$2:$A$41&lt;&gt;"")*('Cost Control'!$D$2:$D$41=""))&gt;0,"FIX: line without a budget","OK")</f>
        <v/>
      </c>
    </row>
    <row r="30"/>
    <row r="31"/>
    <row r="32">
      <c r="A32" s="24" t="inlineStr">
        <is>
          <t>Blue cells are formulas. If a number looks wrong, check the row it came from - never overwrite a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2026-10-20T02:44:06Z</dcterms:created>
  <dcterms:modified xmlns:dcterms="http://purl.org/dc/terms/" xmlns:xsi="http://www.w3.org/2001/XMLSchema-instance" xsi:type="dcterms:W3CDTF">2026-10-20T02:44:06Z</dcterms:modified>
</cp:coreProperties>
</file>