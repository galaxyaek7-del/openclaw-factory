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" sheetId="1" state="visible" r:id="rId1"/>
    <sheet xmlns:r="http://schemas.openxmlformats.org/officeDocument/2006/relationships" name="Holders" sheetId="2" state="visible" r:id="rId2"/>
    <sheet xmlns:r="http://schemas.openxmlformats.org/officeDocument/2006/relationships" name="Envelopes" sheetId="3" state="visible" r:id="rId3"/>
    <sheet xmlns:r="http://schemas.openxmlformats.org/officeDocument/2006/relationships" name="DrillLog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6" customWidth="1" min="4" max="4"/>
    <col width="44" customWidth="1" min="5" max="5"/>
    <col width="18" customWidth="1" min="6" max="6"/>
    <col width="14" customWidth="1" min="7" max="7"/>
    <col width="13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What it is</t>
        </is>
      </c>
      <c r="C1" s="1" t="inlineStr">
        <is>
          <t>Where it lives (provider / URL)</t>
        </is>
      </c>
      <c r="D1" s="1" t="inlineStr">
        <is>
          <t>Account owner</t>
        </is>
      </c>
      <c r="E1" s="1" t="inlineStr">
        <is>
          <t>Recovery route (how access is restored)</t>
        </is>
      </c>
      <c r="F1" s="1" t="inlineStr">
        <is>
          <t>Two-person rule (Y/N)</t>
        </is>
      </c>
      <c r="G1" s="1" t="inlineStr">
        <is>
          <t>Criticality 1-5</t>
        </is>
      </c>
      <c r="H1" s="1" t="inlineStr">
        <is>
          <t>Last verified</t>
        </is>
      </c>
      <c r="I1" s="1" t="inlineStr">
        <is>
          <t>Notes</t>
        </is>
      </c>
      <c r="J1" s="2" t="inlineStr">
        <is>
          <t>A password never goes in this sheet. Record the RECOVERY ROUTE only (how access is restored), never the secret itself.</t>
        </is>
      </c>
    </row>
    <row r="2">
      <c r="A2" s="3" t="n">
        <v>1</v>
      </c>
      <c r="B2" s="3" t="inlineStr">
        <is>
          <t>EXAMPLE domain registrar</t>
        </is>
      </c>
      <c r="C2" s="3" t="inlineStr">
        <is>
          <t>registrar.example (login: owner@business)</t>
        </is>
      </c>
      <c r="D2" s="3" t="inlineStr">
        <is>
          <t>You</t>
        </is>
      </c>
      <c r="E2" s="3" t="inlineStr">
        <is>
          <t>Email reset to a shared inbox two people can open</t>
        </is>
      </c>
      <c r="F2" s="3" t="inlineStr">
        <is>
          <t>N</t>
        </is>
      </c>
      <c r="G2" s="4" t="n">
        <v>5</v>
      </c>
      <c r="H2" s="5" t="n"/>
      <c r="I2" s="3" t="inlineStr">
        <is>
          <t>Never store the password here - only the route</t>
        </is>
      </c>
    </row>
    <row r="3">
      <c r="A3" s="3" t="n">
        <v>2</v>
      </c>
      <c r="B3" s="3" t="inlineStr">
        <is>
          <t>EXAMPLE business bank</t>
        </is>
      </c>
      <c r="C3" s="3" t="inlineStr">
        <is>
          <t>Bank (relationship manager: [name])</t>
        </is>
      </c>
      <c r="D3" s="3" t="inlineStr">
        <is>
          <t>You</t>
        </is>
      </c>
      <c r="E3" s="3" t="inlineStr">
        <is>
          <t>Branch visit with ID + account number</t>
        </is>
      </c>
      <c r="F3" s="3" t="inlineStr">
        <is>
          <t>Y</t>
        </is>
      </c>
      <c r="G3" s="4" t="n">
        <v>5</v>
      </c>
      <c r="H3" s="5" t="n"/>
      <c r="I3" s="3" t="inlineStr"/>
    </row>
    <row r="4">
      <c r="A4" s="3" t="n">
        <v>3</v>
      </c>
      <c r="B4" s="3" t="inlineStr">
        <is>
          <t>EXAMPLE payment processor</t>
        </is>
      </c>
      <c r="C4" s="3" t="inlineStr">
        <is>
          <t>payouts.biz (payouts to the business account)</t>
        </is>
      </c>
      <c r="D4" s="3" t="inlineStr">
        <is>
          <t>You</t>
        </is>
      </c>
      <c r="E4" s="3" t="inlineStr">
        <is>
          <t>Support ticket from the recovery email</t>
        </is>
      </c>
      <c r="F4" s="3" t="inlineStr">
        <is>
          <t>Y</t>
        </is>
      </c>
      <c r="G4" s="4" t="n">
        <v>4</v>
      </c>
      <c r="H4" s="5" t="n"/>
      <c r="I4" s="3" t="inlineStr"/>
    </row>
    <row r="5">
      <c r="A5" s="6" t="n">
        <v>4</v>
      </c>
      <c r="B5" s="6" t="inlineStr"/>
      <c r="C5" s="6" t="inlineStr"/>
      <c r="D5" s="6" t="inlineStr"/>
      <c r="E5" s="6" t="inlineStr"/>
      <c r="F5" s="6" t="inlineStr"/>
      <c r="G5" s="7" t="n"/>
      <c r="H5" s="8" t="n"/>
      <c r="I5" s="6" t="inlineStr"/>
    </row>
    <row r="6">
      <c r="A6" s="6" t="n">
        <v>5</v>
      </c>
      <c r="B6" s="6" t="inlineStr"/>
      <c r="C6" s="6" t="inlineStr"/>
      <c r="D6" s="6" t="inlineStr"/>
      <c r="E6" s="6" t="inlineStr"/>
      <c r="F6" s="6" t="inlineStr"/>
      <c r="G6" s="7" t="n"/>
      <c r="H6" s="8" t="n"/>
      <c r="I6" s="6" t="inlineStr"/>
    </row>
    <row r="7">
      <c r="A7" s="6" t="n">
        <v>6</v>
      </c>
      <c r="B7" s="6" t="inlineStr"/>
      <c r="C7" s="6" t="inlineStr"/>
      <c r="D7" s="6" t="inlineStr"/>
      <c r="E7" s="6" t="inlineStr"/>
      <c r="F7" s="6" t="inlineStr"/>
      <c r="G7" s="7" t="n"/>
      <c r="H7" s="8" t="n"/>
      <c r="I7" s="6" t="inlineStr"/>
    </row>
    <row r="8">
      <c r="A8" s="6" t="n">
        <v>7</v>
      </c>
      <c r="B8" s="6" t="inlineStr"/>
      <c r="C8" s="6" t="inlineStr"/>
      <c r="D8" s="6" t="inlineStr"/>
      <c r="E8" s="6" t="inlineStr"/>
      <c r="F8" s="6" t="inlineStr"/>
      <c r="G8" s="7" t="n"/>
      <c r="H8" s="8" t="n"/>
      <c r="I8" s="6" t="inlineStr"/>
    </row>
    <row r="9">
      <c r="A9" s="6" t="n">
        <v>8</v>
      </c>
      <c r="B9" s="6" t="inlineStr"/>
      <c r="C9" s="6" t="inlineStr"/>
      <c r="D9" s="6" t="inlineStr"/>
      <c r="E9" s="6" t="inlineStr"/>
      <c r="F9" s="6" t="inlineStr"/>
      <c r="G9" s="7" t="n"/>
      <c r="H9" s="8" t="n"/>
      <c r="I9" s="6" t="inlineStr"/>
    </row>
    <row r="10">
      <c r="A10" s="6" t="n">
        <v>9</v>
      </c>
      <c r="B10" s="6" t="inlineStr"/>
      <c r="C10" s="6" t="inlineStr"/>
      <c r="D10" s="6" t="inlineStr"/>
      <c r="E10" s="6" t="inlineStr"/>
      <c r="F10" s="6" t="inlineStr"/>
      <c r="G10" s="7" t="n"/>
      <c r="H10" s="8" t="n"/>
      <c r="I10" s="6" t="inlineStr"/>
    </row>
    <row r="11">
      <c r="A11" s="6" t="n">
        <v>10</v>
      </c>
      <c r="B11" s="6" t="inlineStr"/>
      <c r="C11" s="6" t="inlineStr"/>
      <c r="D11" s="6" t="inlineStr"/>
      <c r="E11" s="6" t="inlineStr"/>
      <c r="F11" s="6" t="inlineStr"/>
      <c r="G11" s="7" t="n"/>
      <c r="H11" s="8" t="n"/>
      <c r="I11" s="6" t="inlineStr"/>
    </row>
    <row r="12">
      <c r="A12" s="6" t="n">
        <v>11</v>
      </c>
      <c r="B12" s="6" t="inlineStr"/>
      <c r="C12" s="6" t="inlineStr"/>
      <c r="D12" s="6" t="inlineStr"/>
      <c r="E12" s="6" t="inlineStr"/>
      <c r="F12" s="6" t="inlineStr"/>
      <c r="G12" s="7" t="n"/>
      <c r="H12" s="8" t="n"/>
      <c r="I12" s="6" t="inlineStr"/>
    </row>
    <row r="13">
      <c r="A13" s="6" t="n">
        <v>12</v>
      </c>
      <c r="B13" s="6" t="inlineStr"/>
      <c r="C13" s="6" t="inlineStr"/>
      <c r="D13" s="6" t="inlineStr"/>
      <c r="E13" s="6" t="inlineStr"/>
      <c r="F13" s="6" t="inlineStr"/>
      <c r="G13" s="7" t="n"/>
      <c r="H13" s="8" t="n"/>
      <c r="I13" s="6" t="inlineStr"/>
    </row>
    <row r="14">
      <c r="A14" s="6" t="n">
        <v>13</v>
      </c>
      <c r="B14" s="6" t="inlineStr"/>
      <c r="C14" s="6" t="inlineStr"/>
      <c r="D14" s="6" t="inlineStr"/>
      <c r="E14" s="6" t="inlineStr"/>
      <c r="F14" s="6" t="inlineStr"/>
      <c r="G14" s="7" t="n"/>
      <c r="H14" s="8" t="n"/>
      <c r="I14" s="6" t="inlineStr"/>
    </row>
    <row r="15">
      <c r="A15" s="6" t="n">
        <v>14</v>
      </c>
      <c r="B15" s="6" t="inlineStr"/>
      <c r="C15" s="6" t="inlineStr"/>
      <c r="D15" s="6" t="inlineStr"/>
      <c r="E15" s="6" t="inlineStr"/>
      <c r="F15" s="6" t="inlineStr"/>
      <c r="G15" s="7" t="n"/>
      <c r="H15" s="8" t="n"/>
      <c r="I15" s="6" t="inlineStr"/>
    </row>
    <row r="16">
      <c r="A16" s="6" t="n">
        <v>15</v>
      </c>
      <c r="B16" s="6" t="inlineStr"/>
      <c r="C16" s="6" t="inlineStr"/>
      <c r="D16" s="6" t="inlineStr"/>
      <c r="E16" s="6" t="inlineStr"/>
      <c r="F16" s="6" t="inlineStr"/>
      <c r="G16" s="7" t="n"/>
      <c r="H16" s="8" t="n"/>
      <c r="I16" s="6" t="inlineStr"/>
    </row>
    <row r="17">
      <c r="A17" s="6" t="n">
        <v>16</v>
      </c>
      <c r="B17" s="6" t="inlineStr"/>
      <c r="C17" s="6" t="inlineStr"/>
      <c r="D17" s="6" t="inlineStr"/>
      <c r="E17" s="6" t="inlineStr"/>
      <c r="F17" s="6" t="inlineStr"/>
      <c r="G17" s="7" t="n"/>
      <c r="H17" s="8" t="n"/>
      <c r="I17" s="6" t="inlineStr"/>
    </row>
    <row r="18">
      <c r="A18" s="6" t="n">
        <v>17</v>
      </c>
      <c r="B18" s="6" t="inlineStr"/>
      <c r="C18" s="6" t="inlineStr"/>
      <c r="D18" s="6" t="inlineStr"/>
      <c r="E18" s="6" t="inlineStr"/>
      <c r="F18" s="6" t="inlineStr"/>
      <c r="G18" s="7" t="n"/>
      <c r="H18" s="8" t="n"/>
      <c r="I18" s="6" t="inlineStr"/>
    </row>
    <row r="19">
      <c r="A19" s="6" t="n">
        <v>18</v>
      </c>
      <c r="B19" s="6" t="inlineStr"/>
      <c r="C19" s="6" t="inlineStr"/>
      <c r="D19" s="6" t="inlineStr"/>
      <c r="E19" s="6" t="inlineStr"/>
      <c r="F19" s="6" t="inlineStr"/>
      <c r="G19" s="7" t="n"/>
      <c r="H19" s="8" t="n"/>
      <c r="I19" s="6" t="inlineStr"/>
    </row>
    <row r="20">
      <c r="A20" s="6" t="n">
        <v>19</v>
      </c>
      <c r="B20" s="6" t="inlineStr"/>
      <c r="C20" s="6" t="inlineStr"/>
      <c r="D20" s="6" t="inlineStr"/>
      <c r="E20" s="6" t="inlineStr"/>
      <c r="F20" s="6" t="inlineStr"/>
      <c r="G20" s="7" t="n"/>
      <c r="H20" s="8" t="n"/>
      <c r="I20" s="6" t="inlineStr"/>
    </row>
    <row r="21">
      <c r="A21" s="6" t="n">
        <v>20</v>
      </c>
      <c r="B21" s="6" t="inlineStr"/>
      <c r="C21" s="6" t="inlineStr"/>
      <c r="D21" s="6" t="inlineStr"/>
      <c r="E21" s="6" t="inlineStr"/>
      <c r="F21" s="6" t="inlineStr"/>
      <c r="G21" s="7" t="n"/>
      <c r="H21" s="8" t="n"/>
      <c r="I21" s="6" t="inlineStr"/>
    </row>
    <row r="22">
      <c r="A22" s="6" t="n">
        <v>21</v>
      </c>
      <c r="B22" s="6" t="inlineStr"/>
      <c r="C22" s="6" t="inlineStr"/>
      <c r="D22" s="6" t="inlineStr"/>
      <c r="E22" s="6" t="inlineStr"/>
      <c r="F22" s="6" t="inlineStr"/>
      <c r="G22" s="7" t="n"/>
      <c r="H22" s="8" t="n"/>
      <c r="I22" s="6" t="inlineStr"/>
    </row>
    <row r="23">
      <c r="A23" s="6" t="n">
        <v>22</v>
      </c>
      <c r="B23" s="6" t="inlineStr"/>
      <c r="C23" s="6" t="inlineStr"/>
      <c r="D23" s="6" t="inlineStr"/>
      <c r="E23" s="6" t="inlineStr"/>
      <c r="F23" s="6" t="inlineStr"/>
      <c r="G23" s="7" t="n"/>
      <c r="H23" s="8" t="n"/>
      <c r="I23" s="6" t="inlineStr"/>
    </row>
    <row r="24">
      <c r="A24" s="6" t="n">
        <v>23</v>
      </c>
      <c r="B24" s="6" t="inlineStr"/>
      <c r="C24" s="6" t="inlineStr"/>
      <c r="D24" s="6" t="inlineStr"/>
      <c r="E24" s="6" t="inlineStr"/>
      <c r="F24" s="6" t="inlineStr"/>
      <c r="G24" s="7" t="n"/>
      <c r="H24" s="8" t="n"/>
      <c r="I24" s="6" t="inlineStr"/>
    </row>
    <row r="25">
      <c r="A25" s="6" t="n">
        <v>24</v>
      </c>
      <c r="B25" s="6" t="inlineStr"/>
      <c r="C25" s="6" t="inlineStr"/>
      <c r="D25" s="6" t="inlineStr"/>
      <c r="E25" s="6" t="inlineStr"/>
      <c r="F25" s="6" t="inlineStr"/>
      <c r="G25" s="7" t="n"/>
      <c r="H25" s="8" t="n"/>
      <c r="I25" s="6" t="inlineStr"/>
    </row>
    <row r="26">
      <c r="A26" s="6" t="n">
        <v>25</v>
      </c>
      <c r="B26" s="6" t="inlineStr"/>
      <c r="C26" s="6" t="inlineStr"/>
      <c r="D26" s="6" t="inlineStr"/>
      <c r="E26" s="6" t="inlineStr"/>
      <c r="F26" s="6" t="inlineStr"/>
      <c r="G26" s="7" t="n"/>
      <c r="H26" s="8" t="n"/>
      <c r="I26" s="6" t="inlineStr"/>
    </row>
    <row r="27">
      <c r="A27" s="6" t="n">
        <v>26</v>
      </c>
      <c r="B27" s="6" t="inlineStr"/>
      <c r="C27" s="6" t="inlineStr"/>
      <c r="D27" s="6" t="inlineStr"/>
      <c r="E27" s="6" t="inlineStr"/>
      <c r="F27" s="6" t="inlineStr"/>
      <c r="G27" s="7" t="n"/>
      <c r="H27" s="8" t="n"/>
      <c r="I27" s="6" t="inlineStr"/>
    </row>
    <row r="28">
      <c r="A28" s="6" t="n">
        <v>27</v>
      </c>
      <c r="B28" s="6" t="inlineStr"/>
      <c r="C28" s="6" t="inlineStr"/>
      <c r="D28" s="6" t="inlineStr"/>
      <c r="E28" s="6" t="inlineStr"/>
      <c r="F28" s="6" t="inlineStr"/>
      <c r="G28" s="7" t="n"/>
      <c r="H28" s="8" t="n"/>
      <c r="I28" s="6" t="inlineStr"/>
    </row>
    <row r="29">
      <c r="A29" s="6" t="n">
        <v>28</v>
      </c>
      <c r="B29" s="6" t="inlineStr"/>
      <c r="C29" s="6" t="inlineStr"/>
      <c r="D29" s="6" t="inlineStr"/>
      <c r="E29" s="6" t="inlineStr"/>
      <c r="F29" s="6" t="inlineStr"/>
      <c r="G29" s="7" t="n"/>
      <c r="H29" s="8" t="n"/>
      <c r="I29" s="6" t="inlineStr"/>
    </row>
    <row r="30">
      <c r="A30" s="6" t="n">
        <v>29</v>
      </c>
      <c r="B30" s="6" t="inlineStr"/>
      <c r="C30" s="6" t="inlineStr"/>
      <c r="D30" s="6" t="inlineStr"/>
      <c r="E30" s="6" t="inlineStr"/>
      <c r="F30" s="6" t="inlineStr"/>
      <c r="G30" s="7" t="n"/>
      <c r="H30" s="8" t="n"/>
      <c r="I30" s="6" t="inlineStr"/>
    </row>
    <row r="31">
      <c r="A31" s="6" t="n">
        <v>30</v>
      </c>
      <c r="B31" s="6" t="inlineStr"/>
      <c r="C31" s="6" t="inlineStr"/>
      <c r="D31" s="6" t="inlineStr"/>
      <c r="E31" s="6" t="inlineStr"/>
      <c r="F31" s="6" t="inlineStr"/>
      <c r="G31" s="7" t="n"/>
      <c r="H31" s="8" t="n"/>
      <c r="I31" s="6" t="inlineStr"/>
    </row>
  </sheetData>
  <dataValidations count="2">
    <dataValidation sqref="F2:F30" showDropDown="0" showInputMessage="0" showErrorMessage="1" allowBlank="1" errorTitle="Two-person rule" error="Enter Y or N." type="list">
      <formula1>"Y,N"</formula1>
    </dataValidation>
    <dataValidation sqref="G2:G30" showDropDown="0" showInputMessage="0" showErrorMessage="1" allowBlank="1" errorTitle="Criticality" error="Enter a whole number 1 (nice to have) to 5 (business stops without it)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34" customWidth="1" min="4" max="4"/>
    <col width="38" customWidth="1" min="5" max="5"/>
    <col width="14" customWidth="1" min="6" max="6"/>
    <col width="13" customWidth="1" min="7" max="7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Best contact</t>
        </is>
      </c>
      <c r="D1" s="1" t="inlineStr">
        <is>
          <t>What they may touch (categories)</t>
        </is>
      </c>
      <c r="E1" s="1" t="inlineStr">
        <is>
          <t>Authority basis (named on account / will / POA)</t>
        </is>
      </c>
      <c r="F1" s="1" t="inlineStr">
        <is>
          <t>Confirmed (Y/N)</t>
        </is>
      </c>
      <c r="G1" s="1" t="inlineStr">
        <is>
          <t>Last confirmed</t>
        </is>
      </c>
      <c r="H1" s="2" t="inlineStr">
        <is>
          <t>Authority like a power of attorney or a will is a legal matter - get it drawn up by a lawyer where you live. This sheet records who you told, not legal authority.</t>
        </is>
      </c>
    </row>
    <row r="2">
      <c r="A2" s="3" t="inlineStr">
        <is>
          <t>EXAMPLE executor / successor</t>
        </is>
      </c>
      <c r="B2" s="3" t="inlineStr">
        <is>
          <t>[Full name]</t>
        </is>
      </c>
      <c r="C2" s="3" t="inlineStr">
        <is>
          <t>phone + email</t>
        </is>
      </c>
      <c r="D2" s="3" t="inlineStr">
        <is>
          <t>Bank, registrar, processor</t>
        </is>
      </c>
      <c r="E2" s="3" t="inlineStr">
        <is>
          <t>Named on the account / will</t>
        </is>
      </c>
      <c r="F2" s="3" t="inlineStr">
        <is>
          <t>N</t>
        </is>
      </c>
      <c r="G2" s="5" t="n"/>
    </row>
    <row r="3">
      <c r="A3" s="3" t="inlineStr">
        <is>
          <t>EXAMPLE backup operator</t>
        </is>
      </c>
      <c r="B3" s="3" t="inlineStr">
        <is>
          <t>[Full name]</t>
        </is>
      </c>
      <c r="C3" s="3" t="inlineStr">
        <is>
          <t>phone + email</t>
        </is>
      </c>
      <c r="D3" s="3" t="inlineStr">
        <is>
          <t>Hosting, email, file storage</t>
        </is>
      </c>
      <c r="E3" s="3" t="inlineStr">
        <is>
          <t>Named on the account</t>
        </is>
      </c>
      <c r="F3" s="3" t="inlineStr">
        <is>
          <t>N</t>
        </is>
      </c>
      <c r="G3" s="5" t="n"/>
    </row>
    <row r="4">
      <c r="A4" s="3" t="inlineStr">
        <is>
          <t>EXAMPLE accountant</t>
        </is>
      </c>
      <c r="B4" s="3" t="inlineStr">
        <is>
          <t>[Firm + person]</t>
        </is>
      </c>
      <c r="C4" s="3" t="inlineStr">
        <is>
          <t>email</t>
        </is>
      </c>
      <c r="D4" s="3" t="inlineStr">
        <is>
          <t>Bookkeeping + tax filings</t>
        </is>
      </c>
      <c r="E4" s="3" t="inlineStr">
        <is>
          <t>Engagement letter</t>
        </is>
      </c>
      <c r="F4" s="3" t="inlineStr">
        <is>
          <t>N</t>
        </is>
      </c>
      <c r="G4" s="5" t="n"/>
    </row>
    <row r="5">
      <c r="A5" s="6" t="inlineStr"/>
      <c r="B5" s="6" t="inlineStr"/>
      <c r="C5" s="6" t="inlineStr"/>
      <c r="D5" s="6" t="inlineStr"/>
      <c r="E5" s="6" t="inlineStr"/>
      <c r="F5" s="6" t="inlineStr"/>
      <c r="G5" s="8" t="n"/>
    </row>
    <row r="6">
      <c r="A6" s="6" t="inlineStr"/>
      <c r="B6" s="6" t="inlineStr"/>
      <c r="C6" s="6" t="inlineStr"/>
      <c r="D6" s="6" t="inlineStr"/>
      <c r="E6" s="6" t="inlineStr"/>
      <c r="F6" s="6" t="inlineStr"/>
      <c r="G6" s="8" t="n"/>
    </row>
    <row r="7">
      <c r="A7" s="6" t="inlineStr"/>
      <c r="B7" s="6" t="inlineStr"/>
      <c r="C7" s="6" t="inlineStr"/>
      <c r="D7" s="6" t="inlineStr"/>
      <c r="E7" s="6" t="inlineStr"/>
      <c r="F7" s="6" t="inlineStr"/>
      <c r="G7" s="8" t="n"/>
    </row>
    <row r="8">
      <c r="A8" s="6" t="inlineStr"/>
      <c r="B8" s="6" t="inlineStr"/>
      <c r="C8" s="6" t="inlineStr"/>
      <c r="D8" s="6" t="inlineStr"/>
      <c r="E8" s="6" t="inlineStr"/>
      <c r="F8" s="6" t="inlineStr"/>
      <c r="G8" s="8" t="n"/>
    </row>
    <row r="9">
      <c r="A9" s="6" t="inlineStr"/>
      <c r="B9" s="6" t="inlineStr"/>
      <c r="C9" s="6" t="inlineStr"/>
      <c r="D9" s="6" t="inlineStr"/>
      <c r="E9" s="6" t="inlineStr"/>
      <c r="F9" s="6" t="inlineStr"/>
      <c r="G9" s="8" t="n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8" t="n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8" t="n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8" t="n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8" t="n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8" t="n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8" t="n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8" t="n"/>
    </row>
  </sheetData>
  <dataValidations count="1">
    <dataValidation sqref="F2:F15" showDropDown="0" showInputMessage="0" showErrorMessage="1" allowBlank="1" errorTitle="Confirmed" error="Enter Y or N.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18" customWidth="1" min="4" max="4"/>
    <col width="52" customWidth="1" min="5" max="5"/>
    <col width="13" customWidth="1" min="6" max="6"/>
  </cols>
  <sheetData>
    <row r="1">
      <c r="A1" s="1" t="inlineStr">
        <is>
          <t>Envelope</t>
        </is>
      </c>
      <c r="B1" s="1" t="inlineStr">
        <is>
          <t>What it holds</t>
        </is>
      </c>
      <c r="C1" s="1" t="inlineStr">
        <is>
          <t>Where it is kept</t>
        </is>
      </c>
      <c r="D1" s="1" t="inlineStr">
        <is>
          <t>Who holds a copy</t>
        </is>
      </c>
      <c r="E1" s="1" t="inlineStr">
        <is>
          <t>How it is opened (process, never a secret)</t>
        </is>
      </c>
      <c r="F1" s="1" t="inlineStr">
        <is>
          <t>Last checked</t>
        </is>
      </c>
    </row>
    <row r="2">
      <c r="A2" s="6" t="inlineStr">
        <is>
          <t>A - the map</t>
        </is>
      </c>
      <c r="B2" s="6" t="inlineStr">
        <is>
          <t>This inventory: what exists, where it lives, who may touch it</t>
        </is>
      </c>
      <c r="C2" s="6" t="inlineStr">
        <is>
          <t>With this workbook (printed + the file)</t>
        </is>
      </c>
      <c r="D2" s="6" t="inlineStr"/>
      <c r="E2" s="6" t="inlineStr">
        <is>
          <t>Read directly - it contains no secrets</t>
        </is>
      </c>
      <c r="F2" s="8" t="n"/>
    </row>
    <row r="3">
      <c r="A3" s="6" t="inlineStr">
        <is>
          <t>B - the keys</t>
        </is>
      </c>
      <c r="B3" s="6" t="inlineStr">
        <is>
          <t>Password-manager emergency access (the vault, not the passwords)</t>
        </is>
      </c>
      <c r="C3" s="6" t="inlineStr">
        <is>
          <t>Password manager's own emergency-access setting</t>
        </is>
      </c>
      <c r="D3" s="6" t="inlineStr"/>
      <c r="E3" s="6" t="inlineStr">
        <is>
          <t>The named contact requests access; the manager's waiting period runs; then they set their own password</t>
        </is>
      </c>
      <c r="F3" s="8" t="n"/>
    </row>
    <row r="4">
      <c r="A4" s="6" t="inlineStr">
        <is>
          <t>C - the letter</t>
        </is>
      </c>
      <c r="B4" s="6" t="inlineStr">
        <is>
          <t>Master-password hint (never the password), lawyer + accountant contacts, 30-day keep-alive steps</t>
        </is>
      </c>
      <c r="C4" s="6" t="inlineStr">
        <is>
          <t>Sealed, with a lawyer or in a safe</t>
        </is>
      </c>
      <c r="D4" s="6" t="inlineStr"/>
      <c r="E4" s="6" t="inlineStr">
        <is>
          <t>Opened only by the named successor, or on a stated condition</t>
        </is>
      </c>
      <c r="F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7" customWidth="1" min="4" max="4"/>
    <col width="18" customWidth="1" min="5" max="5"/>
    <col width="18" customWidth="1" min="6" max="6"/>
    <col width="44" customWidth="1" min="7" max="7"/>
    <col width="13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Run by</t>
        </is>
      </c>
      <c r="C1" s="1" t="inlineStr">
        <is>
          <t>A up to date (Y/N)</t>
        </is>
      </c>
      <c r="D1" s="1" t="inlineStr">
        <is>
          <t>B flow re-tested (Y/N)</t>
        </is>
      </c>
      <c r="E1" s="1" t="inlineStr">
        <is>
          <t>C location known (Y/N)</t>
        </is>
      </c>
      <c r="F1" s="1" t="inlineStr">
        <is>
          <t>Contacts current (Y/N)</t>
        </is>
      </c>
      <c r="G1" s="1" t="inlineStr">
        <is>
          <t>Gaps found</t>
        </is>
      </c>
      <c r="H1" s="1" t="inlineStr">
        <is>
          <t>Fixed on</t>
        </is>
      </c>
      <c r="I1" s="1" t="inlineStr">
        <is>
          <t>Next drill due</t>
        </is>
      </c>
    </row>
    <row r="2">
      <c r="A2" s="5" t="n"/>
      <c r="B2" s="3" t="inlineStr"/>
      <c r="C2" s="3" t="inlineStr"/>
      <c r="D2" s="3" t="inlineStr"/>
      <c r="E2" s="3" t="inlineStr"/>
      <c r="F2" s="3" t="inlineStr"/>
      <c r="G2" s="3" t="inlineStr">
        <is>
          <t>EXAMPLE the recovery email was a dead address</t>
        </is>
      </c>
      <c r="H2" s="5" t="n"/>
      <c r="I2" s="9">
        <f>IF(ISNUMBER(A2),EDATE(A2,12),"")</f>
        <v/>
      </c>
    </row>
    <row r="3">
      <c r="A3" s="8" t="n"/>
      <c r="B3" s="6" t="inlineStr"/>
      <c r="C3" s="6" t="inlineStr"/>
      <c r="D3" s="6" t="inlineStr"/>
      <c r="E3" s="6" t="inlineStr"/>
      <c r="F3" s="6" t="inlineStr"/>
      <c r="G3" s="6" t="inlineStr"/>
      <c r="H3" s="8" t="n"/>
      <c r="I3" s="9">
        <f>IF(ISNUMBER(A3),EDATE(A3,12),"")</f>
        <v/>
      </c>
    </row>
    <row r="4">
      <c r="A4" s="8" t="n"/>
      <c r="B4" s="6" t="inlineStr"/>
      <c r="C4" s="6" t="inlineStr"/>
      <c r="D4" s="6" t="inlineStr"/>
      <c r="E4" s="6" t="inlineStr"/>
      <c r="F4" s="6" t="inlineStr"/>
      <c r="G4" s="6" t="inlineStr"/>
      <c r="H4" s="8" t="n"/>
      <c r="I4" s="9">
        <f>IF(ISNUMBER(A4),EDATE(A4,12),"")</f>
        <v/>
      </c>
    </row>
    <row r="5">
      <c r="A5" s="8" t="n"/>
      <c r="B5" s="6" t="inlineStr"/>
      <c r="C5" s="6" t="inlineStr"/>
      <c r="D5" s="6" t="inlineStr"/>
      <c r="E5" s="6" t="inlineStr"/>
      <c r="F5" s="6" t="inlineStr"/>
      <c r="G5" s="6" t="inlineStr"/>
      <c r="H5" s="8" t="n"/>
      <c r="I5" s="9">
        <f>IF(ISNUMBER(A5),EDATE(A5,12),"")</f>
        <v/>
      </c>
    </row>
    <row r="6">
      <c r="A6" s="8" t="n"/>
      <c r="B6" s="6" t="inlineStr"/>
      <c r="C6" s="6" t="inlineStr"/>
      <c r="D6" s="6" t="inlineStr"/>
      <c r="E6" s="6" t="inlineStr"/>
      <c r="F6" s="6" t="inlineStr"/>
      <c r="G6" s="6" t="inlineStr"/>
      <c r="H6" s="8" t="n"/>
      <c r="I6" s="9">
        <f>IF(ISNUMBER(A6),EDATE(A6,12),"")</f>
        <v/>
      </c>
    </row>
    <row r="7">
      <c r="A7" s="8" t="n"/>
      <c r="B7" s="6" t="inlineStr"/>
      <c r="C7" s="6" t="inlineStr"/>
      <c r="D7" s="6" t="inlineStr"/>
      <c r="E7" s="6" t="inlineStr"/>
      <c r="F7" s="6" t="inlineStr"/>
      <c r="G7" s="6" t="inlineStr"/>
      <c r="H7" s="8" t="n"/>
      <c r="I7" s="9">
        <f>IF(ISNUMBER(A7),EDATE(A7,12),"")</f>
        <v/>
      </c>
    </row>
    <row r="8">
      <c r="A8" s="8" t="n"/>
      <c r="B8" s="6" t="inlineStr"/>
      <c r="C8" s="6" t="inlineStr"/>
      <c r="D8" s="6" t="inlineStr"/>
      <c r="E8" s="6" t="inlineStr"/>
      <c r="F8" s="6" t="inlineStr"/>
      <c r="G8" s="6" t="inlineStr"/>
      <c r="H8" s="8" t="n"/>
      <c r="I8" s="9">
        <f>IF(ISNUMBER(A8),EDATE(A8,12),"")</f>
        <v/>
      </c>
    </row>
    <row r="9">
      <c r="A9" s="8" t="n"/>
      <c r="B9" s="6" t="inlineStr"/>
      <c r="C9" s="6" t="inlineStr"/>
      <c r="D9" s="6" t="inlineStr"/>
      <c r="E9" s="6" t="inlineStr"/>
      <c r="F9" s="6" t="inlineStr"/>
      <c r="G9" s="6" t="inlineStr"/>
      <c r="H9" s="8" t="n"/>
      <c r="I9" s="9">
        <f>IF(ISNUMBER(A9),EDATE(A9,12),"")</f>
        <v/>
      </c>
    </row>
    <row r="10">
      <c r="A10" s="8" t="n"/>
      <c r="B10" s="6" t="inlineStr"/>
      <c r="C10" s="6" t="inlineStr"/>
      <c r="D10" s="6" t="inlineStr"/>
      <c r="E10" s="6" t="inlineStr"/>
      <c r="F10" s="6" t="inlineStr"/>
      <c r="G10" s="6" t="inlineStr"/>
      <c r="H10" s="8" t="n"/>
      <c r="I10" s="9">
        <f>IF(ISNUMBER(A10),EDATE(A10,12),"")</f>
        <v/>
      </c>
    </row>
    <row r="11">
      <c r="A11" s="8" t="n"/>
      <c r="B11" s="6" t="inlineStr"/>
      <c r="C11" s="6" t="inlineStr"/>
      <c r="D11" s="6" t="inlineStr"/>
      <c r="E11" s="6" t="inlineStr"/>
      <c r="F11" s="6" t="inlineStr"/>
      <c r="G11" s="6" t="inlineStr"/>
      <c r="H11" s="8" t="n"/>
      <c r="I11" s="8" t="n"/>
    </row>
  </sheetData>
  <dataValidations count="4">
    <dataValidation sqref="C2:C10" showDropDown="0" showInputMessage="0" showErrorMessage="1" allowBlank="1" errorTitle="Drill result" error="Enter Y or N." type="list">
      <formula1>"Y,N"</formula1>
    </dataValidation>
    <dataValidation sqref="D2:D10" showDropDown="0" showInputMessage="0" showErrorMessage="1" allowBlank="1" errorTitle="Drill result" error="Enter Y or N." type="list">
      <formula1>"Y,N"</formula1>
    </dataValidation>
    <dataValidation sqref="E2:E10" showDropDown="0" showInputMessage="0" showErrorMessage="1" allowBlank="1" errorTitle="Drill result" error="Enter Y or N." type="list">
      <formula1>"Y,N"</formula1>
    </dataValidation>
    <dataValidation sqref="F2:F10" showDropDown="0" showInputMessage="0" showErrorMessage="1" allowBlank="1" errorTitle="Drill result" error="Enter Y or N.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4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How it is computed</t>
        </is>
      </c>
    </row>
    <row r="2">
      <c r="A2" s="6" t="inlineStr">
        <is>
          <t>Systems inventoried</t>
        </is>
      </c>
      <c r="B2" s="10">
        <f>COUNTA(Systems!$B$2:$B$30)</f>
        <v/>
      </c>
      <c r="C2" s="6" t="inlineStr">
        <is>
          <t>Named rows on Systems</t>
        </is>
      </c>
    </row>
    <row r="3">
      <c r="A3" s="6" t="inlineStr">
        <is>
          <t>Systems under a two-person rule</t>
        </is>
      </c>
      <c r="B3" s="11">
        <f>COUNTIF(Systems!$F$2:$F$30,"Y")</f>
        <v/>
      </c>
      <c r="C3" s="6" t="inlineStr">
        <is>
          <t>Two-person rule = Y</t>
        </is>
      </c>
    </row>
    <row r="4">
      <c r="A4" s="6" t="inlineStr">
        <is>
          <t>Two-person coverage %</t>
        </is>
      </c>
      <c r="B4" s="12">
        <f>IFERROR(COUNTIF(Systems!$F$2:$F$30,"Y")/COUNTA(Systems!$B$2:$B$30),"")</f>
        <v/>
      </c>
      <c r="C4" s="6" t="inlineStr">
        <is>
          <t>Covered systems / named systems</t>
        </is>
      </c>
    </row>
    <row r="5">
      <c r="A5" s="6" t="inlineStr">
        <is>
          <t>Critical systems (4-5) with NO two-person rule</t>
        </is>
      </c>
      <c r="B5" s="11">
        <f>COUNTIFS(Systems!$G$2:$G$30,"&gt;=4",Systems!$F$2:$F$30,"&lt;&gt;Y")</f>
        <v/>
      </c>
      <c r="C5" s="6" t="inlineStr">
        <is>
          <t>The rows that would stop the business and have no backup person</t>
        </is>
      </c>
    </row>
    <row r="6">
      <c r="A6" s="6" t="inlineStr">
        <is>
          <t>Holders named</t>
        </is>
      </c>
      <c r="B6" s="11">
        <f>COUNTA(Holders!$B$2:$B$15)</f>
        <v/>
      </c>
      <c r="C6" s="6" t="inlineStr">
        <is>
          <t>Named rows on Holders</t>
        </is>
      </c>
    </row>
    <row r="7">
      <c r="A7" s="6" t="inlineStr">
        <is>
          <t>Holders confirmed</t>
        </is>
      </c>
      <c r="B7" s="11">
        <f>COUNTIF(Holders!$F$2:$F$15,"Y")</f>
        <v/>
      </c>
      <c r="C7" s="6" t="inlineStr">
        <is>
          <t>Confirmed = Y</t>
        </is>
      </c>
    </row>
    <row r="8">
      <c r="A8" s="6" t="inlineStr">
        <is>
          <t>Last drill date</t>
        </is>
      </c>
      <c r="B8" s="9">
        <f>IFERROR(MAX(DrillLog!$A$2:$A$10),"")</f>
        <v/>
      </c>
      <c r="C8" s="6" t="inlineStr">
        <is>
          <t>Most recent drill</t>
        </is>
      </c>
    </row>
    <row r="9">
      <c r="A9" s="6" t="inlineStr">
        <is>
          <t>Days since last drill</t>
        </is>
      </c>
      <c r="B9" s="11">
        <f>IF(ISNUMBER(B8),TODAY()-B8,"")</f>
        <v/>
      </c>
      <c r="C9" s="6" t="inlineStr">
        <is>
          <t>Today - last drill date</t>
        </is>
      </c>
    </row>
    <row r="10">
      <c r="A10" s="6" t="inlineStr">
        <is>
          <t>Drill status</t>
        </is>
      </c>
      <c r="B10" s="10">
        <f>IF(NOT(ISNUMBER(B8)),"NEVER DRILLED",IF(B9&gt;365,"OVERDUE","Current"))</f>
        <v/>
      </c>
      <c r="C10" s="6" t="inlineStr">
        <is>
          <t>Overdue once more than 365 days pass</t>
        </is>
      </c>
    </row>
    <row r="11">
      <c r="A11" s="6" t="inlineStr">
        <is>
          <t>Envelopes checked (all 3)</t>
        </is>
      </c>
      <c r="B11" s="11">
        <f>SUMPRODUCT((Envelopes!$F$2:$F$4&lt;&gt;"")*1)</f>
        <v/>
      </c>
      <c r="C11" s="6" t="inlineStr">
        <is>
          <t>Envelope rows with a checked date</t>
        </is>
      </c>
    </row>
    <row r="12">
      <c r="A12" s="6" t="inlineStr">
        <is>
          <t>Continuity readiness</t>
        </is>
      </c>
      <c r="B12" s="10">
        <f>IF(B2=0,"Fill the Systems sheet",IF(AND(B3&gt;=1,ISNUMBER(B9),B9&lt;=365),IF(B5=0,"CONTINUITY READY","GAPS REMAIN - close critical gaps"),"GAPS REMAIN"))</f>
        <v/>
      </c>
      <c r="C12" s="6" t="inlineStr">
        <is>
          <t>A drill within 12 months, at least one backup person, no high-criticality gap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B12-003 Founder Access Continuity Inventory - HOW TO USE</t>
        </is>
      </c>
    </row>
    <row r="2"/>
    <row r="3">
      <c r="A3" s="14" t="inlineStr">
        <is>
          <t>1) This is an INVENTORY, never a vault. Never type a password, PIN or full account number into any cell here. You record WHAT exists, WHERE it lives and WHO may touch it - plus the recovery route. The passwords live in a real password manager.</t>
        </is>
      </c>
    </row>
    <row r="4">
      <c r="A4" s="14" t="inlineStr">
        <is>
          <t>2) Systems: one row per thing the business runs on (registrar, hosting, bank, processor, email, storage). Fill only the white cells. Criticality 4-5 means the business stops without it. Two-person rule = Y when more than one trusted person can restore access. Blue cells on Dashboard compute; do not overwrite them.</t>
        </is>
      </c>
    </row>
    <row r="5">
      <c r="A5" s="14" t="inlineStr">
        <is>
          <t>3) Holders: who may act, what they may touch, and on what basis. Keep the confirmed column honest - re-confirm every year. Legal authority (will, power of attorney) must be drawn up by a lawyer where you live; this sheet only records who you have told.</t>
        </is>
      </c>
    </row>
    <row r="6">
      <c r="A6" s="14" t="inlineStr">
        <is>
          <t>4) Envelopes: the three-envelope method. A = this map (no secrets). B = password-manager emergency access (the named contact requests it and the manager runs its waiting period). C = a sealed letter with a hint and the keep-alive steps, held by a lawyer or in a safe.</t>
        </is>
      </c>
    </row>
    <row r="7">
      <c r="A7" s="14" t="inlineStr">
        <is>
          <t>5) DrillLog: once a year, run the 30-minute drill, record what broke, and fix it. The Dashboard marks the drill OVERDUE after 12 months - an untested plan is a wish, not a plan.</t>
        </is>
      </c>
    </row>
    <row r="8">
      <c r="A8" s="14" t="inlineStr">
        <is>
          <t>6) Pair this with the B12-003 PDF guide (the method, the successor's first 72 hours, and the fill-in tables). This is an organising system, not legal, financial or insurance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2026-10-19T06:33:30Z</dcterms:created>
  <dcterms:modified xmlns:dcterms="http://purl.org/dc/terms/" xmlns:xsi="http://www.w3.org/2001/XMLSchema-instance" xsi:type="dcterms:W3CDTF">2026-10-19T06:33:30Z</dcterms:modified>
</cp:coreProperties>
</file>