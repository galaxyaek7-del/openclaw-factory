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ts" sheetId="1" state="visible" r:id="rId1"/>
    <sheet xmlns:r="http://schemas.openxmlformats.org/officeDocument/2006/relationships" name="Angles" sheetId="2" state="visible" r:id="rId2"/>
    <sheet xmlns:r="http://schemas.openxmlformats.org/officeDocument/2006/relationships" name="Pipeline" sheetId="3" state="visible" r:id="rId3"/>
    <sheet xmlns:r="http://schemas.openxmlformats.org/officeDocument/2006/relationships" name="FollowUps" sheetId="4" state="visible" r:id="rId4"/>
    <sheet xmlns:r="http://schemas.openxmlformats.org/officeDocument/2006/relationships" name="Metrics" sheetId="5" state="visible" r:id="rId5"/>
    <sheet xmlns:r="http://schemas.openxmlformats.org/officeDocument/2006/relationships" name="README" sheetId="6" state="visible" r:id="rId6"/>
  </sheets>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b val="1"/>
      <color rgb="00FFFFFF"/>
      <sz val="11"/>
    </font>
    <font>
      <i val="1"/>
    </font>
    <font>
      <b val="1"/>
      <sz val="13"/>
    </font>
  </fonts>
  <fills count="5">
    <fill>
      <patternFill/>
    </fill>
    <fill>
      <patternFill patternType="gray125"/>
    </fill>
    <fill>
      <patternFill patternType="solid">
        <fgColor rgb="001F3864"/>
      </patternFill>
    </fill>
    <fill>
      <patternFill patternType="solid">
        <fgColor rgb="00FFF2CC"/>
      </patternFill>
    </fill>
    <fill>
      <patternFill patternType="solid">
        <fgColor rgb="00DDEBF7"/>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top" wrapText="1"/>
    </xf>
    <xf numFmtId="0" fontId="2" fillId="0"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9" fontId="0" fillId="4" borderId="1" applyAlignment="1" pivotButton="0" quotePrefix="0" xfId="0">
      <alignment vertical="top" wrapText="1"/>
    </xf>
    <xf numFmtId="164" fontId="0" fillId="3" borderId="1" applyAlignment="1" pivotButton="0" quotePrefix="0" xfId="0">
      <alignment vertical="top" wrapText="1"/>
    </xf>
    <xf numFmtId="164" fontId="0" fillId="4" borderId="1" applyAlignment="1" pivotButton="0" quotePrefix="0" xfId="0">
      <alignment vertical="top" wrapText="1"/>
    </xf>
    <xf numFmtId="164" fontId="0" fillId="0" borderId="1" applyAlignment="1" pivotButton="0" quotePrefix="0" xfId="0">
      <alignment vertical="top" wrapText="1"/>
    </xf>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sheetPr>
  <dimension ref="A1:G11"/>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82" customWidth="1" min="3" max="3"/>
    <col width="12" customWidth="1" min="4" max="4"/>
    <col width="34" customWidth="1" min="5" max="5"/>
  </cols>
  <sheetData>
    <row r="1">
      <c r="A1" s="1" t="inlineStr">
        <is>
          <t>#</t>
        </is>
      </c>
      <c r="B1" s="1" t="inlineStr">
        <is>
          <t>Asset</t>
        </is>
      </c>
      <c r="C1" s="1" t="inlineStr">
        <is>
          <t>What it must contain</t>
        </is>
      </c>
      <c r="D1" s="1" t="inlineStr">
        <is>
          <t>Ready (Y/N)</t>
        </is>
      </c>
      <c r="E1" s="1" t="inlineStr">
        <is>
          <t>Link or location</t>
        </is>
      </c>
      <c r="G1" s="2" t="inlineStr">
        <is>
          <t>Build every asset marked N before you send a single pitch. The Metrics sheet will not report ASSETS READY until all ten are Y.</t>
        </is>
      </c>
    </row>
    <row r="2">
      <c r="A2" s="3" t="n">
        <v>1</v>
      </c>
      <c r="B2" s="3" t="inlineStr">
        <is>
          <t>Angle 1 + its proof</t>
        </is>
      </c>
      <c r="C2" s="3" t="inlineStr">
        <is>
          <t>One specific, arguable claim for a named audience, plus the number, story or outcome that proves it</t>
        </is>
      </c>
      <c r="D2" s="3" t="inlineStr">
        <is>
          <t>N</t>
        </is>
      </c>
      <c r="E2" s="3" t="inlineStr"/>
    </row>
    <row r="3">
      <c r="A3" s="3" t="n">
        <v>2</v>
      </c>
      <c r="B3" s="3" t="inlineStr">
        <is>
          <t>Angle 2 + its proof</t>
        </is>
      </c>
      <c r="C3" s="3" t="inlineStr">
        <is>
          <t>Same bar as angle 1 - a claim you can defend on air</t>
        </is>
      </c>
      <c r="D3" s="3" t="inlineStr">
        <is>
          <t>N</t>
        </is>
      </c>
      <c r="E3" s="3" t="inlineStr"/>
    </row>
    <row r="4">
      <c r="A4" s="3" t="n">
        <v>3</v>
      </c>
      <c r="B4" s="3" t="inlineStr">
        <is>
          <t>Angle 3 + its proof</t>
        </is>
      </c>
      <c r="C4" s="3" t="inlineStr">
        <is>
          <t>Same bar again - three angles is the working minimum</t>
        </is>
      </c>
      <c r="D4" s="3" t="inlineStr">
        <is>
          <t>N</t>
        </is>
      </c>
      <c r="E4" s="3" t="inlineStr"/>
    </row>
    <row r="5">
      <c r="A5" s="3" t="n">
        <v>4</v>
      </c>
      <c r="B5" s="3" t="inlineStr">
        <is>
          <t>One-sheet</t>
        </is>
      </c>
      <c r="C5" s="3" t="inlineStr">
        <is>
          <t>One page a host can scan in 30 seconds: topics, proof, short bio, logistics - under 250 words of prose</t>
        </is>
      </c>
      <c r="D5" s="3" t="inlineStr">
        <is>
          <t>N</t>
        </is>
      </c>
      <c r="E5" s="3" t="inlineStr"/>
    </row>
    <row r="6">
      <c r="A6" s="3" t="n">
        <v>5</v>
      </c>
      <c r="B6" s="3" t="inlineStr">
        <is>
          <t>Bio - 60 words</t>
        </is>
      </c>
      <c r="C6" s="3" t="inlineStr">
        <is>
          <t>Paste-ready short bio for the worst-moment request</t>
        </is>
      </c>
      <c r="D6" s="3" t="inlineStr">
        <is>
          <t>N</t>
        </is>
      </c>
      <c r="E6" s="3" t="inlineStr"/>
    </row>
    <row r="7">
      <c r="A7" s="3" t="n">
        <v>6</v>
      </c>
      <c r="B7" s="3" t="inlineStr">
        <is>
          <t>Bio - 150 words</t>
        </is>
      </c>
      <c r="C7" s="3" t="inlineStr">
        <is>
          <t>Paste-ready medium bio</t>
        </is>
      </c>
      <c r="D7" s="3" t="inlineStr">
        <is>
          <t>N</t>
        </is>
      </c>
      <c r="E7" s="3" t="inlineStr"/>
    </row>
    <row r="8">
      <c r="A8" s="3" t="n">
        <v>7</v>
      </c>
      <c r="B8" s="3" t="inlineStr">
        <is>
          <t>Bio - 300 words</t>
        </is>
      </c>
      <c r="C8" s="3" t="inlineStr">
        <is>
          <t>Paste-ready long bio with credentials</t>
        </is>
      </c>
      <c r="D8" s="3" t="inlineStr">
        <is>
          <t>N</t>
        </is>
      </c>
      <c r="E8" s="3" t="inlineStr"/>
    </row>
    <row r="9">
      <c r="A9" s="3" t="n">
        <v>8</v>
      </c>
      <c r="B9" s="3" t="inlineStr">
        <is>
          <t>Lead magnet</t>
        </is>
      </c>
      <c r="C9" s="3" t="inlineStr">
        <is>
          <t>One free, genuinely useful thing for the host's audience (checklist, template, calculator)</t>
        </is>
      </c>
      <c r="D9" s="3" t="inlineStr">
        <is>
          <t>N</t>
        </is>
      </c>
      <c r="E9" s="3" t="inlineStr"/>
    </row>
    <row r="10">
      <c r="A10" s="3" t="n">
        <v>9</v>
      </c>
      <c r="B10" s="3" t="inlineStr">
        <is>
          <t>Headshot</t>
        </is>
      </c>
      <c r="C10" s="3" t="inlineStr">
        <is>
          <t>Square, high resolution, current</t>
        </is>
      </c>
      <c r="D10" s="3" t="inlineStr">
        <is>
          <t>N</t>
        </is>
      </c>
      <c r="E10" s="3" t="inlineStr"/>
    </row>
    <row r="11">
      <c r="A11" s="3" t="n">
        <v>10</v>
      </c>
      <c r="B11" s="3" t="inlineStr">
        <is>
          <t>Links (two at most)</t>
        </is>
      </c>
      <c r="C11" s="3" t="inlineStr">
        <is>
          <t>The only two links you will cite everywhere</t>
        </is>
      </c>
      <c r="D11" s="3" t="inlineStr">
        <is>
          <t>N</t>
        </is>
      </c>
      <c r="E11" s="3" t="inlineStr"/>
    </row>
  </sheetData>
  <dataValidations count="1">
    <dataValidation sqref="D2:D11" showDropDown="0" showInputMessage="1" showErrorMessage="1" allowBlank="0" errorTitle="Ready?" error="Enter Y or N."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sheetPr>
  <dimension ref="A1:J6"/>
  <sheetViews>
    <sheetView workbookViewId="0">
      <pane ySplit="1" topLeftCell="A2" activePane="bottomLeft" state="frozen"/>
      <selection pane="bottomLeft" activeCell="A1" sqref="A1"/>
    </sheetView>
  </sheetViews>
  <sheetFormatPr baseColWidth="8" defaultRowHeight="15"/>
  <cols>
    <col width="4" customWidth="1" min="1" max="1"/>
    <col width="46" customWidth="1" min="2" max="2"/>
    <col width="34" customWidth="1" min="3" max="3"/>
    <col width="24" customWidth="1" min="4" max="4"/>
    <col width="13" customWidth="1" min="5" max="5"/>
    <col width="12" customWidth="1" min="6" max="6"/>
    <col width="10" customWidth="1" min="7" max="7"/>
    <col width="12" customWidth="1" min="8" max="8"/>
  </cols>
  <sheetData>
    <row r="1">
      <c r="A1" s="1" t="inlineStr">
        <is>
          <t>#</t>
        </is>
      </c>
      <c r="B1" s="1" t="inlineStr">
        <is>
          <t>Your angle (one specific claim)</t>
        </is>
      </c>
      <c r="C1" s="1" t="inlineStr">
        <is>
          <t>Proof you can cite (number, story or outcome)</t>
        </is>
      </c>
      <c r="D1" s="1" t="inlineStr">
        <is>
          <t>Best-fit show type</t>
        </is>
      </c>
      <c r="E1" s="1" t="inlineStr">
        <is>
          <t>Complete (Y/N)</t>
        </is>
      </c>
      <c r="F1" s="1" t="inlineStr">
        <is>
          <t>Pitches sent</t>
        </is>
      </c>
      <c r="G1" s="1" t="inlineStr">
        <is>
          <t>Replies</t>
        </is>
      </c>
      <c r="H1" s="1" t="inlineStr">
        <is>
          <t>Reply rate</t>
        </is>
      </c>
      <c r="J1" s="2" t="inlineStr">
        <is>
          <t>Retire an angle after about 15 pitches if its reply rate stays the weakest.</t>
        </is>
      </c>
    </row>
    <row r="2">
      <c r="A2" s="4" t="n">
        <v>1</v>
      </c>
      <c r="B2" s="4" t="inlineStr">
        <is>
          <t>EXAMPLE the three pricing mistakes that make freelancers undercharge</t>
        </is>
      </c>
      <c r="C2" s="4" t="inlineStr">
        <is>
          <t>500 rate reviews analysed</t>
        </is>
      </c>
      <c r="D2" s="4" t="inlineStr">
        <is>
          <t>Freelance / business</t>
        </is>
      </c>
      <c r="E2" s="5">
        <f>IF(AND(B2&lt;&gt;"",C2&lt;&gt;"",D2&lt;&gt;""),"Y","N")</f>
        <v/>
      </c>
      <c r="F2" s="5">
        <f>COUNTIF(Pipeline!$F$2:$F$200,B2)</f>
        <v/>
      </c>
      <c r="G2" s="5">
        <f>COUNTIFS(Pipeline!$F$2:$F$200,B2,Pipeline!$K$2:$K$200,"Replied")+COUNTIFS(Pipeline!$F$2:$F$200,B2,Pipeline!$K$2:$K$200,"Booked")</f>
        <v/>
      </c>
      <c r="H2" s="6">
        <f>IF(OR(B2="",F2=0),"",G2/F2)</f>
        <v/>
      </c>
    </row>
    <row r="3">
      <c r="A3" s="3" t="n">
        <v>2</v>
      </c>
      <c r="B3" s="3" t="inlineStr"/>
      <c r="C3" s="3" t="inlineStr"/>
      <c r="D3" s="3" t="inlineStr"/>
      <c r="E3" s="5">
        <f>IF(AND(B3&lt;&gt;"",C3&lt;&gt;"",D3&lt;&gt;""),"Y","N")</f>
        <v/>
      </c>
      <c r="F3" s="5">
        <f>COUNTIF(Pipeline!$F$2:$F$200,B3)</f>
        <v/>
      </c>
      <c r="G3" s="5">
        <f>COUNTIFS(Pipeline!$F$2:$F$200,B3,Pipeline!$K$2:$K$200,"Replied")+COUNTIFS(Pipeline!$F$2:$F$200,B3,Pipeline!$K$2:$K$200,"Booked")</f>
        <v/>
      </c>
      <c r="H3" s="6">
        <f>IF(OR(B3="",F3=0),"",G3/F3)</f>
        <v/>
      </c>
    </row>
    <row r="4">
      <c r="A4" s="3" t="n">
        <v>3</v>
      </c>
      <c r="B4" s="3" t="inlineStr"/>
      <c r="C4" s="3" t="inlineStr"/>
      <c r="D4" s="3" t="inlineStr"/>
      <c r="E4" s="5">
        <f>IF(AND(B4&lt;&gt;"",C4&lt;&gt;"",D4&lt;&gt;""),"Y","N")</f>
        <v/>
      </c>
      <c r="F4" s="5">
        <f>COUNTIF(Pipeline!$F$2:$F$200,B4)</f>
        <v/>
      </c>
      <c r="G4" s="5">
        <f>COUNTIFS(Pipeline!$F$2:$F$200,B4,Pipeline!$K$2:$K$200,"Replied")+COUNTIFS(Pipeline!$F$2:$F$200,B4,Pipeline!$K$2:$K$200,"Booked")</f>
        <v/>
      </c>
      <c r="H4" s="6">
        <f>IF(OR(B4="",F4=0),"",G4/F4)</f>
        <v/>
      </c>
    </row>
    <row r="5">
      <c r="A5" s="3" t="n">
        <v>4</v>
      </c>
      <c r="B5" s="3" t="inlineStr"/>
      <c r="C5" s="3" t="inlineStr"/>
      <c r="D5" s="3" t="inlineStr"/>
      <c r="E5" s="5">
        <f>IF(AND(B5&lt;&gt;"",C5&lt;&gt;"",D5&lt;&gt;""),"Y","N")</f>
        <v/>
      </c>
      <c r="F5" s="5">
        <f>COUNTIF(Pipeline!$F$2:$F$200,B5)</f>
        <v/>
      </c>
      <c r="G5" s="5">
        <f>COUNTIFS(Pipeline!$F$2:$F$200,B5,Pipeline!$K$2:$K$200,"Replied")+COUNTIFS(Pipeline!$F$2:$F$200,B5,Pipeline!$K$2:$K$200,"Booked")</f>
        <v/>
      </c>
      <c r="H5" s="6">
        <f>IF(OR(B5="",F5=0),"",G5/F5)</f>
        <v/>
      </c>
    </row>
    <row r="6">
      <c r="A6" s="3" t="n">
        <v>5</v>
      </c>
      <c r="B6" s="3" t="inlineStr"/>
      <c r="C6" s="3" t="inlineStr"/>
      <c r="D6" s="3" t="inlineStr"/>
      <c r="E6" s="5">
        <f>IF(AND(B6&lt;&gt;"",C6&lt;&gt;"",D6&lt;&gt;""),"Y","N")</f>
        <v/>
      </c>
      <c r="F6" s="5">
        <f>COUNTIF(Pipeline!$F$2:$F$200,B6)</f>
        <v/>
      </c>
      <c r="G6" s="5">
        <f>COUNTIFS(Pipeline!$F$2:$F$200,B6,Pipeline!$K$2:$K$200,"Replied")+COUNTIFS(Pipeline!$F$2:$F$200,B6,Pipeline!$K$2:$K$200,"Booked")</f>
        <v/>
      </c>
      <c r="H6" s="6">
        <f>IF(OR(B6="",F6=0),"",G6/F6)</f>
        <v/>
      </c>
    </row>
  </sheetData>
  <dataValidations count="1">
    <dataValidation sqref="E2:E6" showDropDown="0" showInputMessage="0" showErrorMessage="1" allowBlank="1" errorTitle="Complete?" error="Enter Y or N."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sheetPr>
  <dimension ref="A1:P42"/>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16" customWidth="1" min="3" max="3"/>
    <col width="46" customWidth="1" min="4" max="4"/>
    <col width="18" customWidth="1" min="5" max="5"/>
    <col width="44" customWidth="1" min="6" max="6"/>
    <col width="11" customWidth="1" min="7" max="7"/>
    <col width="12" customWidth="1" min="8" max="8"/>
    <col width="13" customWidth="1" min="9" max="9"/>
    <col width="13" customWidth="1" min="10" max="10"/>
    <col width="16" customWidth="1" min="11" max="11"/>
    <col width="15" customWidth="1" min="12" max="12"/>
    <col width="26" customWidth="1" min="13" max="13"/>
    <col width="24" customWidth="1" min="14" max="14"/>
  </cols>
  <sheetData>
    <row r="1">
      <c r="A1" s="1" t="inlineStr">
        <is>
          <t>Show</t>
        </is>
      </c>
      <c r="B1" s="1" t="inlineStr">
        <is>
          <t>Host or producer</t>
        </is>
      </c>
      <c r="C1" s="1" t="inlineStr">
        <is>
          <t>Network</t>
        </is>
      </c>
      <c r="D1" s="1" t="inlineStr">
        <is>
          <t>Episode you heard (title + date)</t>
        </is>
      </c>
      <c r="E1" s="1" t="inlineStr">
        <is>
          <t>Contact route</t>
        </is>
      </c>
      <c r="F1" s="1" t="inlineStr">
        <is>
          <t>Angle used</t>
        </is>
      </c>
      <c r="G1" s="1" t="inlineStr">
        <is>
          <t>Fit score 1-5</t>
        </is>
      </c>
      <c r="H1" s="1" t="inlineStr">
        <is>
          <t>Date pitched</t>
        </is>
      </c>
      <c r="I1" s="1" t="inlineStr">
        <is>
          <t>Follow-up 1 due</t>
        </is>
      </c>
      <c r="J1" s="1" t="inlineStr">
        <is>
          <t>Follow-up 2 due</t>
        </is>
      </c>
      <c r="K1" s="1" t="inlineStr">
        <is>
          <t>Status</t>
        </is>
      </c>
      <c r="L1" s="1" t="inlineStr">
        <is>
          <t>Cadence</t>
        </is>
      </c>
      <c r="M1" s="1" t="inlineStr">
        <is>
          <t>Next action</t>
        </is>
      </c>
      <c r="N1" s="1" t="inlineStr">
        <is>
          <t>Notes</t>
        </is>
      </c>
      <c r="P1" s="2" t="inlineStr">
        <is>
          <t>Fill the white cells only. Follow-up dates, Cadence and every figure on Metrics are computed - do not overwrite the blue cells. Cut any show scoring 3 or below: delete the row.</t>
        </is>
      </c>
    </row>
    <row r="2">
      <c r="A2" s="4" t="inlineStr">
        <is>
          <t>EXAMPLE The Small Biz Kitchen</t>
        </is>
      </c>
      <c r="B2" s="4" t="inlineStr">
        <is>
          <t>Marisol</t>
        </is>
      </c>
      <c r="C2" s="4" t="inlineStr">
        <is>
          <t>Independent</t>
        </is>
      </c>
      <c r="D2" s="4" t="inlineStr">
        <is>
          <t>Ep. 112 - the bakery owner drowning in paperwork (2026-09-30)</t>
        </is>
      </c>
      <c r="E2" s="4" t="inlineStr">
        <is>
          <t>contact form</t>
        </is>
      </c>
      <c r="F2" s="4" t="inlineStr">
        <is>
          <t>the three pricing mistakes that make freelancers undercharge</t>
        </is>
      </c>
      <c r="G2" s="4" t="n">
        <v>5</v>
      </c>
      <c r="H2" s="7" t="inlineStr">
        <is>
          <t>2026-10-20</t>
        </is>
      </c>
      <c r="I2" s="8">
        <f>IF(ISNUMBER(H2),H2+7,"")</f>
        <v/>
      </c>
      <c r="J2" s="8">
        <f>IF(ISNUMBER(H2),H2+21,"")</f>
        <v/>
      </c>
      <c r="K2" s="4" t="inlineStr">
        <is>
          <t>Pitched</t>
        </is>
      </c>
      <c r="L2" s="5">
        <f>IF(A2="","",IF(OR(K2="Booked",K2="Declined",K2="Closed - no reply",K2="Do not contact"),"CLOSED",IF(AND(ISNUMBER(J2),TODAY()&gt;J2),"CLOSE THE LOOP",IF(AND(ISNUMBER(I2),TODAY()&gt;I2),"FOLLOW UP 1","WAITING"))))</f>
        <v/>
      </c>
      <c r="M2" s="4" t="inlineStr">
        <is>
          <t>Send the pitch</t>
        </is>
      </c>
      <c r="N2" s="4" t="inlineStr"/>
    </row>
    <row r="3">
      <c r="A3" s="3" t="inlineStr"/>
      <c r="B3" s="3" t="inlineStr"/>
      <c r="C3" s="3" t="inlineStr"/>
      <c r="D3" s="3" t="inlineStr"/>
      <c r="E3" s="3" t="inlineStr"/>
      <c r="F3" s="3" t="inlineStr"/>
      <c r="G3" s="3" t="n"/>
      <c r="H3" s="9" t="n"/>
      <c r="I3" s="8">
        <f>IF(ISNUMBER(H3),H3+7,"")</f>
        <v/>
      </c>
      <c r="J3" s="8">
        <f>IF(ISNUMBER(H3),H3+21,"")</f>
        <v/>
      </c>
      <c r="K3" s="3" t="inlineStr"/>
      <c r="L3" s="5">
        <f>IF(A3="","",IF(OR(K3="Booked",K3="Declined",K3="Closed - no reply",K3="Do not contact"),"CLOSED",IF(AND(ISNUMBER(J3),TODAY()&gt;J3),"CLOSE THE LOOP",IF(AND(ISNUMBER(I3),TODAY()&gt;I3),"FOLLOW UP 1","WAITING"))))</f>
        <v/>
      </c>
      <c r="M3" s="3" t="inlineStr"/>
      <c r="N3" s="3" t="inlineStr"/>
    </row>
    <row r="4">
      <c r="A4" s="3" t="inlineStr"/>
      <c r="B4" s="3" t="inlineStr"/>
      <c r="C4" s="3" t="inlineStr"/>
      <c r="D4" s="3" t="inlineStr"/>
      <c r="E4" s="3" t="inlineStr"/>
      <c r="F4" s="3" t="inlineStr"/>
      <c r="G4" s="3" t="n"/>
      <c r="H4" s="9" t="n"/>
      <c r="I4" s="8">
        <f>IF(ISNUMBER(H4),H4+7,"")</f>
        <v/>
      </c>
      <c r="J4" s="8">
        <f>IF(ISNUMBER(H4),H4+21,"")</f>
        <v/>
      </c>
      <c r="K4" s="3" t="inlineStr"/>
      <c r="L4" s="5">
        <f>IF(A4="","",IF(OR(K4="Booked",K4="Declined",K4="Closed - no reply",K4="Do not contact"),"CLOSED",IF(AND(ISNUMBER(J4),TODAY()&gt;J4),"CLOSE THE LOOP",IF(AND(ISNUMBER(I4),TODAY()&gt;I4),"FOLLOW UP 1","WAITING"))))</f>
        <v/>
      </c>
      <c r="M4" s="3" t="inlineStr"/>
      <c r="N4" s="3" t="inlineStr"/>
    </row>
    <row r="5">
      <c r="A5" s="3" t="inlineStr"/>
      <c r="B5" s="3" t="inlineStr"/>
      <c r="C5" s="3" t="inlineStr"/>
      <c r="D5" s="3" t="inlineStr"/>
      <c r="E5" s="3" t="inlineStr"/>
      <c r="F5" s="3" t="inlineStr"/>
      <c r="G5" s="3" t="n"/>
      <c r="H5" s="9" t="n"/>
      <c r="I5" s="8">
        <f>IF(ISNUMBER(H5),H5+7,"")</f>
        <v/>
      </c>
      <c r="J5" s="8">
        <f>IF(ISNUMBER(H5),H5+21,"")</f>
        <v/>
      </c>
      <c r="K5" s="3" t="inlineStr"/>
      <c r="L5" s="5">
        <f>IF(A5="","",IF(OR(K5="Booked",K5="Declined",K5="Closed - no reply",K5="Do not contact"),"CLOSED",IF(AND(ISNUMBER(J5),TODAY()&gt;J5),"CLOSE THE LOOP",IF(AND(ISNUMBER(I5),TODAY()&gt;I5),"FOLLOW UP 1","WAITING"))))</f>
        <v/>
      </c>
      <c r="M5" s="3" t="inlineStr"/>
      <c r="N5" s="3" t="inlineStr"/>
    </row>
    <row r="6">
      <c r="A6" s="3" t="inlineStr"/>
      <c r="B6" s="3" t="inlineStr"/>
      <c r="C6" s="3" t="inlineStr"/>
      <c r="D6" s="3" t="inlineStr"/>
      <c r="E6" s="3" t="inlineStr"/>
      <c r="F6" s="3" t="inlineStr"/>
      <c r="G6" s="3" t="n"/>
      <c r="H6" s="9" t="n"/>
      <c r="I6" s="8">
        <f>IF(ISNUMBER(H6),H6+7,"")</f>
        <v/>
      </c>
      <c r="J6" s="8">
        <f>IF(ISNUMBER(H6),H6+21,"")</f>
        <v/>
      </c>
      <c r="K6" s="3" t="inlineStr"/>
      <c r="L6" s="5">
        <f>IF(A6="","",IF(OR(K6="Booked",K6="Declined",K6="Closed - no reply",K6="Do not contact"),"CLOSED",IF(AND(ISNUMBER(J6),TODAY()&gt;J6),"CLOSE THE LOOP",IF(AND(ISNUMBER(I6),TODAY()&gt;I6),"FOLLOW UP 1","WAITING"))))</f>
        <v/>
      </c>
      <c r="M6" s="3" t="inlineStr"/>
      <c r="N6" s="3" t="inlineStr"/>
    </row>
    <row r="7">
      <c r="A7" s="3" t="inlineStr"/>
      <c r="B7" s="3" t="inlineStr"/>
      <c r="C7" s="3" t="inlineStr"/>
      <c r="D7" s="3" t="inlineStr"/>
      <c r="E7" s="3" t="inlineStr"/>
      <c r="F7" s="3" t="inlineStr"/>
      <c r="G7" s="3" t="n"/>
      <c r="H7" s="9" t="n"/>
      <c r="I7" s="8">
        <f>IF(ISNUMBER(H7),H7+7,"")</f>
        <v/>
      </c>
      <c r="J7" s="8">
        <f>IF(ISNUMBER(H7),H7+21,"")</f>
        <v/>
      </c>
      <c r="K7" s="3" t="inlineStr"/>
      <c r="L7" s="5">
        <f>IF(A7="","",IF(OR(K7="Booked",K7="Declined",K7="Closed - no reply",K7="Do not contact"),"CLOSED",IF(AND(ISNUMBER(J7),TODAY()&gt;J7),"CLOSE THE LOOP",IF(AND(ISNUMBER(I7),TODAY()&gt;I7),"FOLLOW UP 1","WAITING"))))</f>
        <v/>
      </c>
      <c r="M7" s="3" t="inlineStr"/>
      <c r="N7" s="3" t="inlineStr"/>
    </row>
    <row r="8">
      <c r="A8" s="3" t="inlineStr"/>
      <c r="B8" s="3" t="inlineStr"/>
      <c r="C8" s="3" t="inlineStr"/>
      <c r="D8" s="3" t="inlineStr"/>
      <c r="E8" s="3" t="inlineStr"/>
      <c r="F8" s="3" t="inlineStr"/>
      <c r="G8" s="3" t="n"/>
      <c r="H8" s="9" t="n"/>
      <c r="I8" s="8">
        <f>IF(ISNUMBER(H8),H8+7,"")</f>
        <v/>
      </c>
      <c r="J8" s="8">
        <f>IF(ISNUMBER(H8),H8+21,"")</f>
        <v/>
      </c>
      <c r="K8" s="3" t="inlineStr"/>
      <c r="L8" s="5">
        <f>IF(A8="","",IF(OR(K8="Booked",K8="Declined",K8="Closed - no reply",K8="Do not contact"),"CLOSED",IF(AND(ISNUMBER(J8),TODAY()&gt;J8),"CLOSE THE LOOP",IF(AND(ISNUMBER(I8),TODAY()&gt;I8),"FOLLOW UP 1","WAITING"))))</f>
        <v/>
      </c>
      <c r="M8" s="3" t="inlineStr"/>
      <c r="N8" s="3" t="inlineStr"/>
    </row>
    <row r="9">
      <c r="A9" s="3" t="inlineStr"/>
      <c r="B9" s="3" t="inlineStr"/>
      <c r="C9" s="3" t="inlineStr"/>
      <c r="D9" s="3" t="inlineStr"/>
      <c r="E9" s="3" t="inlineStr"/>
      <c r="F9" s="3" t="inlineStr"/>
      <c r="G9" s="3" t="n"/>
      <c r="H9" s="9" t="n"/>
      <c r="I9" s="8">
        <f>IF(ISNUMBER(H9),H9+7,"")</f>
        <v/>
      </c>
      <c r="J9" s="8">
        <f>IF(ISNUMBER(H9),H9+21,"")</f>
        <v/>
      </c>
      <c r="K9" s="3" t="inlineStr"/>
      <c r="L9" s="5">
        <f>IF(A9="","",IF(OR(K9="Booked",K9="Declined",K9="Closed - no reply",K9="Do not contact"),"CLOSED",IF(AND(ISNUMBER(J9),TODAY()&gt;J9),"CLOSE THE LOOP",IF(AND(ISNUMBER(I9),TODAY()&gt;I9),"FOLLOW UP 1","WAITING"))))</f>
        <v/>
      </c>
      <c r="M9" s="3" t="inlineStr"/>
      <c r="N9" s="3" t="inlineStr"/>
    </row>
    <row r="10">
      <c r="A10" s="3" t="inlineStr"/>
      <c r="B10" s="3" t="inlineStr"/>
      <c r="C10" s="3" t="inlineStr"/>
      <c r="D10" s="3" t="inlineStr"/>
      <c r="E10" s="3" t="inlineStr"/>
      <c r="F10" s="3" t="inlineStr"/>
      <c r="G10" s="3" t="n"/>
      <c r="H10" s="9" t="n"/>
      <c r="I10" s="8">
        <f>IF(ISNUMBER(H10),H10+7,"")</f>
        <v/>
      </c>
      <c r="J10" s="8">
        <f>IF(ISNUMBER(H10),H10+21,"")</f>
        <v/>
      </c>
      <c r="K10" s="3" t="inlineStr"/>
      <c r="L10" s="5">
        <f>IF(A10="","",IF(OR(K10="Booked",K10="Declined",K10="Closed - no reply",K10="Do not contact"),"CLOSED",IF(AND(ISNUMBER(J10),TODAY()&gt;J10),"CLOSE THE LOOP",IF(AND(ISNUMBER(I10),TODAY()&gt;I10),"FOLLOW UP 1","WAITING"))))</f>
        <v/>
      </c>
      <c r="M10" s="3" t="inlineStr"/>
      <c r="N10" s="3" t="inlineStr"/>
    </row>
    <row r="11">
      <c r="A11" s="3" t="inlineStr"/>
      <c r="B11" s="3" t="inlineStr"/>
      <c r="C11" s="3" t="inlineStr"/>
      <c r="D11" s="3" t="inlineStr"/>
      <c r="E11" s="3" t="inlineStr"/>
      <c r="F11" s="3" t="inlineStr"/>
      <c r="G11" s="3" t="n"/>
      <c r="H11" s="9" t="n"/>
      <c r="I11" s="8">
        <f>IF(ISNUMBER(H11),H11+7,"")</f>
        <v/>
      </c>
      <c r="J11" s="8">
        <f>IF(ISNUMBER(H11),H11+21,"")</f>
        <v/>
      </c>
      <c r="K11" s="3" t="inlineStr"/>
      <c r="L11" s="5">
        <f>IF(A11="","",IF(OR(K11="Booked",K11="Declined",K11="Closed - no reply",K11="Do not contact"),"CLOSED",IF(AND(ISNUMBER(J11),TODAY()&gt;J11),"CLOSE THE LOOP",IF(AND(ISNUMBER(I11),TODAY()&gt;I11),"FOLLOW UP 1","WAITING"))))</f>
        <v/>
      </c>
      <c r="M11" s="3" t="inlineStr"/>
      <c r="N11" s="3" t="inlineStr"/>
    </row>
    <row r="12">
      <c r="A12" s="3" t="inlineStr"/>
      <c r="B12" s="3" t="inlineStr"/>
      <c r="C12" s="3" t="inlineStr"/>
      <c r="D12" s="3" t="inlineStr"/>
      <c r="E12" s="3" t="inlineStr"/>
      <c r="F12" s="3" t="inlineStr"/>
      <c r="G12" s="3" t="n"/>
      <c r="H12" s="9" t="n"/>
      <c r="I12" s="8">
        <f>IF(ISNUMBER(H12),H12+7,"")</f>
        <v/>
      </c>
      <c r="J12" s="8">
        <f>IF(ISNUMBER(H12),H12+21,"")</f>
        <v/>
      </c>
      <c r="K12" s="3" t="inlineStr"/>
      <c r="L12" s="5">
        <f>IF(A12="","",IF(OR(K12="Booked",K12="Declined",K12="Closed - no reply",K12="Do not contact"),"CLOSED",IF(AND(ISNUMBER(J12),TODAY()&gt;J12),"CLOSE THE LOOP",IF(AND(ISNUMBER(I12),TODAY()&gt;I12),"FOLLOW UP 1","WAITING"))))</f>
        <v/>
      </c>
      <c r="M12" s="3" t="inlineStr"/>
      <c r="N12" s="3" t="inlineStr"/>
    </row>
    <row r="13">
      <c r="A13" s="3" t="inlineStr"/>
      <c r="B13" s="3" t="inlineStr"/>
      <c r="C13" s="3" t="inlineStr"/>
      <c r="D13" s="3" t="inlineStr"/>
      <c r="E13" s="3" t="inlineStr"/>
      <c r="F13" s="3" t="inlineStr"/>
      <c r="G13" s="3" t="n"/>
      <c r="H13" s="9" t="n"/>
      <c r="I13" s="8">
        <f>IF(ISNUMBER(H13),H13+7,"")</f>
        <v/>
      </c>
      <c r="J13" s="8">
        <f>IF(ISNUMBER(H13),H13+21,"")</f>
        <v/>
      </c>
      <c r="K13" s="3" t="inlineStr"/>
      <c r="L13" s="5">
        <f>IF(A13="","",IF(OR(K13="Booked",K13="Declined",K13="Closed - no reply",K13="Do not contact"),"CLOSED",IF(AND(ISNUMBER(J13),TODAY()&gt;J13),"CLOSE THE LOOP",IF(AND(ISNUMBER(I13),TODAY()&gt;I13),"FOLLOW UP 1","WAITING"))))</f>
        <v/>
      </c>
      <c r="M13" s="3" t="inlineStr"/>
      <c r="N13" s="3" t="inlineStr"/>
    </row>
    <row r="14">
      <c r="A14" s="3" t="inlineStr"/>
      <c r="B14" s="3" t="inlineStr"/>
      <c r="C14" s="3" t="inlineStr"/>
      <c r="D14" s="3" t="inlineStr"/>
      <c r="E14" s="3" t="inlineStr"/>
      <c r="F14" s="3" t="inlineStr"/>
      <c r="G14" s="3" t="n"/>
      <c r="H14" s="9" t="n"/>
      <c r="I14" s="8">
        <f>IF(ISNUMBER(H14),H14+7,"")</f>
        <v/>
      </c>
      <c r="J14" s="8">
        <f>IF(ISNUMBER(H14),H14+21,"")</f>
        <v/>
      </c>
      <c r="K14" s="3" t="inlineStr"/>
      <c r="L14" s="5">
        <f>IF(A14="","",IF(OR(K14="Booked",K14="Declined",K14="Closed - no reply",K14="Do not contact"),"CLOSED",IF(AND(ISNUMBER(J14),TODAY()&gt;J14),"CLOSE THE LOOP",IF(AND(ISNUMBER(I14),TODAY()&gt;I14),"FOLLOW UP 1","WAITING"))))</f>
        <v/>
      </c>
      <c r="M14" s="3" t="inlineStr"/>
      <c r="N14" s="3" t="inlineStr"/>
    </row>
    <row r="15">
      <c r="A15" s="3" t="inlineStr"/>
      <c r="B15" s="3" t="inlineStr"/>
      <c r="C15" s="3" t="inlineStr"/>
      <c r="D15" s="3" t="inlineStr"/>
      <c r="E15" s="3" t="inlineStr"/>
      <c r="F15" s="3" t="inlineStr"/>
      <c r="G15" s="3" t="n"/>
      <c r="H15" s="9" t="n"/>
      <c r="I15" s="8">
        <f>IF(ISNUMBER(H15),H15+7,"")</f>
        <v/>
      </c>
      <c r="J15" s="8">
        <f>IF(ISNUMBER(H15),H15+21,"")</f>
        <v/>
      </c>
      <c r="K15" s="3" t="inlineStr"/>
      <c r="L15" s="5">
        <f>IF(A15="","",IF(OR(K15="Booked",K15="Declined",K15="Closed - no reply",K15="Do not contact"),"CLOSED",IF(AND(ISNUMBER(J15),TODAY()&gt;J15),"CLOSE THE LOOP",IF(AND(ISNUMBER(I15),TODAY()&gt;I15),"FOLLOW UP 1","WAITING"))))</f>
        <v/>
      </c>
      <c r="M15" s="3" t="inlineStr"/>
      <c r="N15" s="3" t="inlineStr"/>
    </row>
    <row r="16">
      <c r="A16" s="3" t="inlineStr"/>
      <c r="B16" s="3" t="inlineStr"/>
      <c r="C16" s="3" t="inlineStr"/>
      <c r="D16" s="3" t="inlineStr"/>
      <c r="E16" s="3" t="inlineStr"/>
      <c r="F16" s="3" t="inlineStr"/>
      <c r="G16" s="3" t="n"/>
      <c r="H16" s="9" t="n"/>
      <c r="I16" s="8">
        <f>IF(ISNUMBER(H16),H16+7,"")</f>
        <v/>
      </c>
      <c r="J16" s="8">
        <f>IF(ISNUMBER(H16),H16+21,"")</f>
        <v/>
      </c>
      <c r="K16" s="3" t="inlineStr"/>
      <c r="L16" s="5">
        <f>IF(A16="","",IF(OR(K16="Booked",K16="Declined",K16="Closed - no reply",K16="Do not contact"),"CLOSED",IF(AND(ISNUMBER(J16),TODAY()&gt;J16),"CLOSE THE LOOP",IF(AND(ISNUMBER(I16),TODAY()&gt;I16),"FOLLOW UP 1","WAITING"))))</f>
        <v/>
      </c>
      <c r="M16" s="3" t="inlineStr"/>
      <c r="N16" s="3" t="inlineStr"/>
    </row>
    <row r="17">
      <c r="A17" s="3" t="inlineStr"/>
      <c r="B17" s="3" t="inlineStr"/>
      <c r="C17" s="3" t="inlineStr"/>
      <c r="D17" s="3" t="inlineStr"/>
      <c r="E17" s="3" t="inlineStr"/>
      <c r="F17" s="3" t="inlineStr"/>
      <c r="G17" s="3" t="n"/>
      <c r="H17" s="9" t="n"/>
      <c r="I17" s="8">
        <f>IF(ISNUMBER(H17),H17+7,"")</f>
        <v/>
      </c>
      <c r="J17" s="8">
        <f>IF(ISNUMBER(H17),H17+21,"")</f>
        <v/>
      </c>
      <c r="K17" s="3" t="inlineStr"/>
      <c r="L17" s="5">
        <f>IF(A17="","",IF(OR(K17="Booked",K17="Declined",K17="Closed - no reply",K17="Do not contact"),"CLOSED",IF(AND(ISNUMBER(J17),TODAY()&gt;J17),"CLOSE THE LOOP",IF(AND(ISNUMBER(I17),TODAY()&gt;I17),"FOLLOW UP 1","WAITING"))))</f>
        <v/>
      </c>
      <c r="M17" s="3" t="inlineStr"/>
      <c r="N17" s="3" t="inlineStr"/>
    </row>
    <row r="18">
      <c r="A18" s="3" t="inlineStr"/>
      <c r="B18" s="3" t="inlineStr"/>
      <c r="C18" s="3" t="inlineStr"/>
      <c r="D18" s="3" t="inlineStr"/>
      <c r="E18" s="3" t="inlineStr"/>
      <c r="F18" s="3" t="inlineStr"/>
      <c r="G18" s="3" t="n"/>
      <c r="H18" s="9" t="n"/>
      <c r="I18" s="8">
        <f>IF(ISNUMBER(H18),H18+7,"")</f>
        <v/>
      </c>
      <c r="J18" s="8">
        <f>IF(ISNUMBER(H18),H18+21,"")</f>
        <v/>
      </c>
      <c r="K18" s="3" t="inlineStr"/>
      <c r="L18" s="5">
        <f>IF(A18="","",IF(OR(K18="Booked",K18="Declined",K18="Closed - no reply",K18="Do not contact"),"CLOSED",IF(AND(ISNUMBER(J18),TODAY()&gt;J18),"CLOSE THE LOOP",IF(AND(ISNUMBER(I18),TODAY()&gt;I18),"FOLLOW UP 1","WAITING"))))</f>
        <v/>
      </c>
      <c r="M18" s="3" t="inlineStr"/>
      <c r="N18" s="3" t="inlineStr"/>
    </row>
    <row r="19">
      <c r="A19" s="3" t="inlineStr"/>
      <c r="B19" s="3" t="inlineStr"/>
      <c r="C19" s="3" t="inlineStr"/>
      <c r="D19" s="3" t="inlineStr"/>
      <c r="E19" s="3" t="inlineStr"/>
      <c r="F19" s="3" t="inlineStr"/>
      <c r="G19" s="3" t="n"/>
      <c r="H19" s="9" t="n"/>
      <c r="I19" s="8">
        <f>IF(ISNUMBER(H19),H19+7,"")</f>
        <v/>
      </c>
      <c r="J19" s="8">
        <f>IF(ISNUMBER(H19),H19+21,"")</f>
        <v/>
      </c>
      <c r="K19" s="3" t="inlineStr"/>
      <c r="L19" s="5">
        <f>IF(A19="","",IF(OR(K19="Booked",K19="Declined",K19="Closed - no reply",K19="Do not contact"),"CLOSED",IF(AND(ISNUMBER(J19),TODAY()&gt;J19),"CLOSE THE LOOP",IF(AND(ISNUMBER(I19),TODAY()&gt;I19),"FOLLOW UP 1","WAITING"))))</f>
        <v/>
      </c>
      <c r="M19" s="3" t="inlineStr"/>
      <c r="N19" s="3" t="inlineStr"/>
    </row>
    <row r="20">
      <c r="A20" s="3" t="inlineStr"/>
      <c r="B20" s="3" t="inlineStr"/>
      <c r="C20" s="3" t="inlineStr"/>
      <c r="D20" s="3" t="inlineStr"/>
      <c r="E20" s="3" t="inlineStr"/>
      <c r="F20" s="3" t="inlineStr"/>
      <c r="G20" s="3" t="n"/>
      <c r="H20" s="9" t="n"/>
      <c r="I20" s="8">
        <f>IF(ISNUMBER(H20),H20+7,"")</f>
        <v/>
      </c>
      <c r="J20" s="8">
        <f>IF(ISNUMBER(H20),H20+21,"")</f>
        <v/>
      </c>
      <c r="K20" s="3" t="inlineStr"/>
      <c r="L20" s="5">
        <f>IF(A20="","",IF(OR(K20="Booked",K20="Declined",K20="Closed - no reply",K20="Do not contact"),"CLOSED",IF(AND(ISNUMBER(J20),TODAY()&gt;J20),"CLOSE THE LOOP",IF(AND(ISNUMBER(I20),TODAY()&gt;I20),"FOLLOW UP 1","WAITING"))))</f>
        <v/>
      </c>
      <c r="M20" s="3" t="inlineStr"/>
      <c r="N20" s="3" t="inlineStr"/>
    </row>
    <row r="21">
      <c r="A21" s="3" t="inlineStr"/>
      <c r="B21" s="3" t="inlineStr"/>
      <c r="C21" s="3" t="inlineStr"/>
      <c r="D21" s="3" t="inlineStr"/>
      <c r="E21" s="3" t="inlineStr"/>
      <c r="F21" s="3" t="inlineStr"/>
      <c r="G21" s="3" t="n"/>
      <c r="H21" s="9" t="n"/>
      <c r="I21" s="8">
        <f>IF(ISNUMBER(H21),H21+7,"")</f>
        <v/>
      </c>
      <c r="J21" s="8">
        <f>IF(ISNUMBER(H21),H21+21,"")</f>
        <v/>
      </c>
      <c r="K21" s="3" t="inlineStr"/>
      <c r="L21" s="5">
        <f>IF(A21="","",IF(OR(K21="Booked",K21="Declined",K21="Closed - no reply",K21="Do not contact"),"CLOSED",IF(AND(ISNUMBER(J21),TODAY()&gt;J21),"CLOSE THE LOOP",IF(AND(ISNUMBER(I21),TODAY()&gt;I21),"FOLLOW UP 1","WAITING"))))</f>
        <v/>
      </c>
      <c r="M21" s="3" t="inlineStr"/>
      <c r="N21" s="3" t="inlineStr"/>
    </row>
    <row r="22">
      <c r="A22" s="3" t="inlineStr"/>
      <c r="B22" s="3" t="inlineStr"/>
      <c r="C22" s="3" t="inlineStr"/>
      <c r="D22" s="3" t="inlineStr"/>
      <c r="E22" s="3" t="inlineStr"/>
      <c r="F22" s="3" t="inlineStr"/>
      <c r="G22" s="3" t="n"/>
      <c r="H22" s="9" t="n"/>
      <c r="I22" s="8">
        <f>IF(ISNUMBER(H22),H22+7,"")</f>
        <v/>
      </c>
      <c r="J22" s="8">
        <f>IF(ISNUMBER(H22),H22+21,"")</f>
        <v/>
      </c>
      <c r="K22" s="3" t="inlineStr"/>
      <c r="L22" s="5">
        <f>IF(A22="","",IF(OR(K22="Booked",K22="Declined",K22="Closed - no reply",K22="Do not contact"),"CLOSED",IF(AND(ISNUMBER(J22),TODAY()&gt;J22),"CLOSE THE LOOP",IF(AND(ISNUMBER(I22),TODAY()&gt;I22),"FOLLOW UP 1","WAITING"))))</f>
        <v/>
      </c>
      <c r="M22" s="3" t="inlineStr"/>
      <c r="N22" s="3" t="inlineStr"/>
    </row>
    <row r="23">
      <c r="A23" s="3" t="inlineStr"/>
      <c r="B23" s="3" t="inlineStr"/>
      <c r="C23" s="3" t="inlineStr"/>
      <c r="D23" s="3" t="inlineStr"/>
      <c r="E23" s="3" t="inlineStr"/>
      <c r="F23" s="3" t="inlineStr"/>
      <c r="G23" s="3" t="n"/>
      <c r="H23" s="9" t="n"/>
      <c r="I23" s="8">
        <f>IF(ISNUMBER(H23),H23+7,"")</f>
        <v/>
      </c>
      <c r="J23" s="8">
        <f>IF(ISNUMBER(H23),H23+21,"")</f>
        <v/>
      </c>
      <c r="K23" s="3" t="inlineStr"/>
      <c r="L23" s="5">
        <f>IF(A23="","",IF(OR(K23="Booked",K23="Declined",K23="Closed - no reply",K23="Do not contact"),"CLOSED",IF(AND(ISNUMBER(J23),TODAY()&gt;J23),"CLOSE THE LOOP",IF(AND(ISNUMBER(I23),TODAY()&gt;I23),"FOLLOW UP 1","WAITING"))))</f>
        <v/>
      </c>
      <c r="M23" s="3" t="inlineStr"/>
      <c r="N23" s="3" t="inlineStr"/>
    </row>
    <row r="24">
      <c r="A24" s="3" t="inlineStr"/>
      <c r="B24" s="3" t="inlineStr"/>
      <c r="C24" s="3" t="inlineStr"/>
      <c r="D24" s="3" t="inlineStr"/>
      <c r="E24" s="3" t="inlineStr"/>
      <c r="F24" s="3" t="inlineStr"/>
      <c r="G24" s="3" t="n"/>
      <c r="H24" s="9" t="n"/>
      <c r="I24" s="8">
        <f>IF(ISNUMBER(H24),H24+7,"")</f>
        <v/>
      </c>
      <c r="J24" s="8">
        <f>IF(ISNUMBER(H24),H24+21,"")</f>
        <v/>
      </c>
      <c r="K24" s="3" t="inlineStr"/>
      <c r="L24" s="5">
        <f>IF(A24="","",IF(OR(K24="Booked",K24="Declined",K24="Closed - no reply",K24="Do not contact"),"CLOSED",IF(AND(ISNUMBER(J24),TODAY()&gt;J24),"CLOSE THE LOOP",IF(AND(ISNUMBER(I24),TODAY()&gt;I24),"FOLLOW UP 1","WAITING"))))</f>
        <v/>
      </c>
      <c r="M24" s="3" t="inlineStr"/>
      <c r="N24" s="3" t="inlineStr"/>
    </row>
    <row r="25">
      <c r="A25" s="3" t="inlineStr"/>
      <c r="B25" s="3" t="inlineStr"/>
      <c r="C25" s="3" t="inlineStr"/>
      <c r="D25" s="3" t="inlineStr"/>
      <c r="E25" s="3" t="inlineStr"/>
      <c r="F25" s="3" t="inlineStr"/>
      <c r="G25" s="3" t="n"/>
      <c r="H25" s="9" t="n"/>
      <c r="I25" s="8">
        <f>IF(ISNUMBER(H25),H25+7,"")</f>
        <v/>
      </c>
      <c r="J25" s="8">
        <f>IF(ISNUMBER(H25),H25+21,"")</f>
        <v/>
      </c>
      <c r="K25" s="3" t="inlineStr"/>
      <c r="L25" s="5">
        <f>IF(A25="","",IF(OR(K25="Booked",K25="Declined",K25="Closed - no reply",K25="Do not contact"),"CLOSED",IF(AND(ISNUMBER(J25),TODAY()&gt;J25),"CLOSE THE LOOP",IF(AND(ISNUMBER(I25),TODAY()&gt;I25),"FOLLOW UP 1","WAITING"))))</f>
        <v/>
      </c>
      <c r="M25" s="3" t="inlineStr"/>
      <c r="N25" s="3" t="inlineStr"/>
    </row>
    <row r="26">
      <c r="A26" s="3" t="inlineStr"/>
      <c r="B26" s="3" t="inlineStr"/>
      <c r="C26" s="3" t="inlineStr"/>
      <c r="D26" s="3" t="inlineStr"/>
      <c r="E26" s="3" t="inlineStr"/>
      <c r="F26" s="3" t="inlineStr"/>
      <c r="G26" s="3" t="n"/>
      <c r="H26" s="9" t="n"/>
      <c r="I26" s="8">
        <f>IF(ISNUMBER(H26),H26+7,"")</f>
        <v/>
      </c>
      <c r="J26" s="8">
        <f>IF(ISNUMBER(H26),H26+21,"")</f>
        <v/>
      </c>
      <c r="K26" s="3" t="inlineStr"/>
      <c r="L26" s="5">
        <f>IF(A26="","",IF(OR(K26="Booked",K26="Declined",K26="Closed - no reply",K26="Do not contact"),"CLOSED",IF(AND(ISNUMBER(J26),TODAY()&gt;J26),"CLOSE THE LOOP",IF(AND(ISNUMBER(I26),TODAY()&gt;I26),"FOLLOW UP 1","WAITING"))))</f>
        <v/>
      </c>
      <c r="M26" s="3" t="inlineStr"/>
      <c r="N26" s="3" t="inlineStr"/>
    </row>
    <row r="27">
      <c r="A27" s="3" t="inlineStr"/>
      <c r="B27" s="3" t="inlineStr"/>
      <c r="C27" s="3" t="inlineStr"/>
      <c r="D27" s="3" t="inlineStr"/>
      <c r="E27" s="3" t="inlineStr"/>
      <c r="F27" s="3" t="inlineStr"/>
      <c r="G27" s="3" t="n"/>
      <c r="H27" s="9" t="n"/>
      <c r="I27" s="8">
        <f>IF(ISNUMBER(H27),H27+7,"")</f>
        <v/>
      </c>
      <c r="J27" s="8">
        <f>IF(ISNUMBER(H27),H27+21,"")</f>
        <v/>
      </c>
      <c r="K27" s="3" t="inlineStr"/>
      <c r="L27" s="5">
        <f>IF(A27="","",IF(OR(K27="Booked",K27="Declined",K27="Closed - no reply",K27="Do not contact"),"CLOSED",IF(AND(ISNUMBER(J27),TODAY()&gt;J27),"CLOSE THE LOOP",IF(AND(ISNUMBER(I27),TODAY()&gt;I27),"FOLLOW UP 1","WAITING"))))</f>
        <v/>
      </c>
      <c r="M27" s="3" t="inlineStr"/>
      <c r="N27" s="3" t="inlineStr"/>
    </row>
    <row r="28">
      <c r="A28" s="3" t="inlineStr"/>
      <c r="B28" s="3" t="inlineStr"/>
      <c r="C28" s="3" t="inlineStr"/>
      <c r="D28" s="3" t="inlineStr"/>
      <c r="E28" s="3" t="inlineStr"/>
      <c r="F28" s="3" t="inlineStr"/>
      <c r="G28" s="3" t="n"/>
      <c r="H28" s="9" t="n"/>
      <c r="I28" s="8">
        <f>IF(ISNUMBER(H28),H28+7,"")</f>
        <v/>
      </c>
      <c r="J28" s="8">
        <f>IF(ISNUMBER(H28),H28+21,"")</f>
        <v/>
      </c>
      <c r="K28" s="3" t="inlineStr"/>
      <c r="L28" s="5">
        <f>IF(A28="","",IF(OR(K28="Booked",K28="Declined",K28="Closed - no reply",K28="Do not contact"),"CLOSED",IF(AND(ISNUMBER(J28),TODAY()&gt;J28),"CLOSE THE LOOP",IF(AND(ISNUMBER(I28),TODAY()&gt;I28),"FOLLOW UP 1","WAITING"))))</f>
        <v/>
      </c>
      <c r="M28" s="3" t="inlineStr"/>
      <c r="N28" s="3" t="inlineStr"/>
    </row>
    <row r="29">
      <c r="A29" s="3" t="inlineStr"/>
      <c r="B29" s="3" t="inlineStr"/>
      <c r="C29" s="3" t="inlineStr"/>
      <c r="D29" s="3" t="inlineStr"/>
      <c r="E29" s="3" t="inlineStr"/>
      <c r="F29" s="3" t="inlineStr"/>
      <c r="G29" s="3" t="n"/>
      <c r="H29" s="9" t="n"/>
      <c r="I29" s="8">
        <f>IF(ISNUMBER(H29),H29+7,"")</f>
        <v/>
      </c>
      <c r="J29" s="8">
        <f>IF(ISNUMBER(H29),H29+21,"")</f>
        <v/>
      </c>
      <c r="K29" s="3" t="inlineStr"/>
      <c r="L29" s="5">
        <f>IF(A29="","",IF(OR(K29="Booked",K29="Declined",K29="Closed - no reply",K29="Do not contact"),"CLOSED",IF(AND(ISNUMBER(J29),TODAY()&gt;J29),"CLOSE THE LOOP",IF(AND(ISNUMBER(I29),TODAY()&gt;I29),"FOLLOW UP 1","WAITING"))))</f>
        <v/>
      </c>
      <c r="M29" s="3" t="inlineStr"/>
      <c r="N29" s="3" t="inlineStr"/>
    </row>
    <row r="30">
      <c r="A30" s="3" t="inlineStr"/>
      <c r="B30" s="3" t="inlineStr"/>
      <c r="C30" s="3" t="inlineStr"/>
      <c r="D30" s="3" t="inlineStr"/>
      <c r="E30" s="3" t="inlineStr"/>
      <c r="F30" s="3" t="inlineStr"/>
      <c r="G30" s="3" t="n"/>
      <c r="H30" s="9" t="n"/>
      <c r="I30" s="8">
        <f>IF(ISNUMBER(H30),H30+7,"")</f>
        <v/>
      </c>
      <c r="J30" s="8">
        <f>IF(ISNUMBER(H30),H30+21,"")</f>
        <v/>
      </c>
      <c r="K30" s="3" t="inlineStr"/>
      <c r="L30" s="5">
        <f>IF(A30="","",IF(OR(K30="Booked",K30="Declined",K30="Closed - no reply",K30="Do not contact"),"CLOSED",IF(AND(ISNUMBER(J30),TODAY()&gt;J30),"CLOSE THE LOOP",IF(AND(ISNUMBER(I30),TODAY()&gt;I30),"FOLLOW UP 1","WAITING"))))</f>
        <v/>
      </c>
      <c r="M30" s="3" t="inlineStr"/>
      <c r="N30" s="3" t="inlineStr"/>
    </row>
    <row r="31">
      <c r="A31" s="3" t="inlineStr"/>
      <c r="B31" s="3" t="inlineStr"/>
      <c r="C31" s="3" t="inlineStr"/>
      <c r="D31" s="3" t="inlineStr"/>
      <c r="E31" s="3" t="inlineStr"/>
      <c r="F31" s="3" t="inlineStr"/>
      <c r="G31" s="3" t="n"/>
      <c r="H31" s="9" t="n"/>
      <c r="I31" s="8">
        <f>IF(ISNUMBER(H31),H31+7,"")</f>
        <v/>
      </c>
      <c r="J31" s="8">
        <f>IF(ISNUMBER(H31),H31+21,"")</f>
        <v/>
      </c>
      <c r="K31" s="3" t="inlineStr"/>
      <c r="L31" s="5">
        <f>IF(A31="","",IF(OR(K31="Booked",K31="Declined",K31="Closed - no reply",K31="Do not contact"),"CLOSED",IF(AND(ISNUMBER(J31),TODAY()&gt;J31),"CLOSE THE LOOP",IF(AND(ISNUMBER(I31),TODAY()&gt;I31),"FOLLOW UP 1","WAITING"))))</f>
        <v/>
      </c>
      <c r="M31" s="3" t="inlineStr"/>
      <c r="N31" s="3" t="inlineStr"/>
    </row>
    <row r="32">
      <c r="A32" s="3" t="inlineStr"/>
      <c r="B32" s="3" t="inlineStr"/>
      <c r="C32" s="3" t="inlineStr"/>
      <c r="D32" s="3" t="inlineStr"/>
      <c r="E32" s="3" t="inlineStr"/>
      <c r="F32" s="3" t="inlineStr"/>
      <c r="G32" s="3" t="n"/>
      <c r="H32" s="9" t="n"/>
      <c r="I32" s="8">
        <f>IF(ISNUMBER(H32),H32+7,"")</f>
        <v/>
      </c>
      <c r="J32" s="8">
        <f>IF(ISNUMBER(H32),H32+21,"")</f>
        <v/>
      </c>
      <c r="K32" s="3" t="inlineStr"/>
      <c r="L32" s="5">
        <f>IF(A32="","",IF(OR(K32="Booked",K32="Declined",K32="Closed - no reply",K32="Do not contact"),"CLOSED",IF(AND(ISNUMBER(J32),TODAY()&gt;J32),"CLOSE THE LOOP",IF(AND(ISNUMBER(I32),TODAY()&gt;I32),"FOLLOW UP 1","WAITING"))))</f>
        <v/>
      </c>
      <c r="M32" s="3" t="inlineStr"/>
      <c r="N32" s="3" t="inlineStr"/>
    </row>
    <row r="33">
      <c r="A33" s="3" t="inlineStr"/>
      <c r="B33" s="3" t="inlineStr"/>
      <c r="C33" s="3" t="inlineStr"/>
      <c r="D33" s="3" t="inlineStr"/>
      <c r="E33" s="3" t="inlineStr"/>
      <c r="F33" s="3" t="inlineStr"/>
      <c r="G33" s="3" t="n"/>
      <c r="H33" s="9" t="n"/>
      <c r="I33" s="8">
        <f>IF(ISNUMBER(H33),H33+7,"")</f>
        <v/>
      </c>
      <c r="J33" s="8">
        <f>IF(ISNUMBER(H33),H33+21,"")</f>
        <v/>
      </c>
      <c r="K33" s="3" t="inlineStr"/>
      <c r="L33" s="5">
        <f>IF(A33="","",IF(OR(K33="Booked",K33="Declined",K33="Closed - no reply",K33="Do not contact"),"CLOSED",IF(AND(ISNUMBER(J33),TODAY()&gt;J33),"CLOSE THE LOOP",IF(AND(ISNUMBER(I33),TODAY()&gt;I33),"FOLLOW UP 1","WAITING"))))</f>
        <v/>
      </c>
      <c r="M33" s="3" t="inlineStr"/>
      <c r="N33" s="3" t="inlineStr"/>
    </row>
    <row r="34">
      <c r="A34" s="3" t="inlineStr"/>
      <c r="B34" s="3" t="inlineStr"/>
      <c r="C34" s="3" t="inlineStr"/>
      <c r="D34" s="3" t="inlineStr"/>
      <c r="E34" s="3" t="inlineStr"/>
      <c r="F34" s="3" t="inlineStr"/>
      <c r="G34" s="3" t="n"/>
      <c r="H34" s="9" t="n"/>
      <c r="I34" s="8">
        <f>IF(ISNUMBER(H34),H34+7,"")</f>
        <v/>
      </c>
      <c r="J34" s="8">
        <f>IF(ISNUMBER(H34),H34+21,"")</f>
        <v/>
      </c>
      <c r="K34" s="3" t="inlineStr"/>
      <c r="L34" s="5">
        <f>IF(A34="","",IF(OR(K34="Booked",K34="Declined",K34="Closed - no reply",K34="Do not contact"),"CLOSED",IF(AND(ISNUMBER(J34),TODAY()&gt;J34),"CLOSE THE LOOP",IF(AND(ISNUMBER(I34),TODAY()&gt;I34),"FOLLOW UP 1","WAITING"))))</f>
        <v/>
      </c>
      <c r="M34" s="3" t="inlineStr"/>
      <c r="N34" s="3" t="inlineStr"/>
    </row>
    <row r="35">
      <c r="A35" s="3" t="inlineStr"/>
      <c r="B35" s="3" t="inlineStr"/>
      <c r="C35" s="3" t="inlineStr"/>
      <c r="D35" s="3" t="inlineStr"/>
      <c r="E35" s="3" t="inlineStr"/>
      <c r="F35" s="3" t="inlineStr"/>
      <c r="G35" s="3" t="n"/>
      <c r="H35" s="9" t="n"/>
      <c r="I35" s="8">
        <f>IF(ISNUMBER(H35),H35+7,"")</f>
        <v/>
      </c>
      <c r="J35" s="8">
        <f>IF(ISNUMBER(H35),H35+21,"")</f>
        <v/>
      </c>
      <c r="K35" s="3" t="inlineStr"/>
      <c r="L35" s="5">
        <f>IF(A35="","",IF(OR(K35="Booked",K35="Declined",K35="Closed - no reply",K35="Do not contact"),"CLOSED",IF(AND(ISNUMBER(J35),TODAY()&gt;J35),"CLOSE THE LOOP",IF(AND(ISNUMBER(I35),TODAY()&gt;I35),"FOLLOW UP 1","WAITING"))))</f>
        <v/>
      </c>
      <c r="M35" s="3" t="inlineStr"/>
      <c r="N35" s="3" t="inlineStr"/>
    </row>
    <row r="36">
      <c r="A36" s="3" t="inlineStr"/>
      <c r="B36" s="3" t="inlineStr"/>
      <c r="C36" s="3" t="inlineStr"/>
      <c r="D36" s="3" t="inlineStr"/>
      <c r="E36" s="3" t="inlineStr"/>
      <c r="F36" s="3" t="inlineStr"/>
      <c r="G36" s="3" t="n"/>
      <c r="H36" s="9" t="n"/>
      <c r="I36" s="8">
        <f>IF(ISNUMBER(H36),H36+7,"")</f>
        <v/>
      </c>
      <c r="J36" s="8">
        <f>IF(ISNUMBER(H36),H36+21,"")</f>
        <v/>
      </c>
      <c r="K36" s="3" t="inlineStr"/>
      <c r="L36" s="5">
        <f>IF(A36="","",IF(OR(K36="Booked",K36="Declined",K36="Closed - no reply",K36="Do not contact"),"CLOSED",IF(AND(ISNUMBER(J36),TODAY()&gt;J36),"CLOSE THE LOOP",IF(AND(ISNUMBER(I36),TODAY()&gt;I36),"FOLLOW UP 1","WAITING"))))</f>
        <v/>
      </c>
      <c r="M36" s="3" t="inlineStr"/>
      <c r="N36" s="3" t="inlineStr"/>
    </row>
    <row r="37">
      <c r="A37" s="3" t="inlineStr"/>
      <c r="B37" s="3" t="inlineStr"/>
      <c r="C37" s="3" t="inlineStr"/>
      <c r="D37" s="3" t="inlineStr"/>
      <c r="E37" s="3" t="inlineStr"/>
      <c r="F37" s="3" t="inlineStr"/>
      <c r="G37" s="3" t="n"/>
      <c r="H37" s="9" t="n"/>
      <c r="I37" s="8">
        <f>IF(ISNUMBER(H37),H37+7,"")</f>
        <v/>
      </c>
      <c r="J37" s="8">
        <f>IF(ISNUMBER(H37),H37+21,"")</f>
        <v/>
      </c>
      <c r="K37" s="3" t="inlineStr"/>
      <c r="L37" s="5">
        <f>IF(A37="","",IF(OR(K37="Booked",K37="Declined",K37="Closed - no reply",K37="Do not contact"),"CLOSED",IF(AND(ISNUMBER(J37),TODAY()&gt;J37),"CLOSE THE LOOP",IF(AND(ISNUMBER(I37),TODAY()&gt;I37),"FOLLOW UP 1","WAITING"))))</f>
        <v/>
      </c>
      <c r="M37" s="3" t="inlineStr"/>
      <c r="N37" s="3" t="inlineStr"/>
    </row>
    <row r="38">
      <c r="A38" s="3" t="inlineStr"/>
      <c r="B38" s="3" t="inlineStr"/>
      <c r="C38" s="3" t="inlineStr"/>
      <c r="D38" s="3" t="inlineStr"/>
      <c r="E38" s="3" t="inlineStr"/>
      <c r="F38" s="3" t="inlineStr"/>
      <c r="G38" s="3" t="n"/>
      <c r="H38" s="9" t="n"/>
      <c r="I38" s="8">
        <f>IF(ISNUMBER(H38),H38+7,"")</f>
        <v/>
      </c>
      <c r="J38" s="8">
        <f>IF(ISNUMBER(H38),H38+21,"")</f>
        <v/>
      </c>
      <c r="K38" s="3" t="inlineStr"/>
      <c r="L38" s="5">
        <f>IF(A38="","",IF(OR(K38="Booked",K38="Declined",K38="Closed - no reply",K38="Do not contact"),"CLOSED",IF(AND(ISNUMBER(J38),TODAY()&gt;J38),"CLOSE THE LOOP",IF(AND(ISNUMBER(I38),TODAY()&gt;I38),"FOLLOW UP 1","WAITING"))))</f>
        <v/>
      </c>
      <c r="M38" s="3" t="inlineStr"/>
      <c r="N38" s="3" t="inlineStr"/>
    </row>
    <row r="39">
      <c r="A39" s="3" t="inlineStr"/>
      <c r="B39" s="3" t="inlineStr"/>
      <c r="C39" s="3" t="inlineStr"/>
      <c r="D39" s="3" t="inlineStr"/>
      <c r="E39" s="3" t="inlineStr"/>
      <c r="F39" s="3" t="inlineStr"/>
      <c r="G39" s="3" t="n"/>
      <c r="H39" s="9" t="n"/>
      <c r="I39" s="8">
        <f>IF(ISNUMBER(H39),H39+7,"")</f>
        <v/>
      </c>
      <c r="J39" s="8">
        <f>IF(ISNUMBER(H39),H39+21,"")</f>
        <v/>
      </c>
      <c r="K39" s="3" t="inlineStr"/>
      <c r="L39" s="5">
        <f>IF(A39="","",IF(OR(K39="Booked",K39="Declined",K39="Closed - no reply",K39="Do not contact"),"CLOSED",IF(AND(ISNUMBER(J39),TODAY()&gt;J39),"CLOSE THE LOOP",IF(AND(ISNUMBER(I39),TODAY()&gt;I39),"FOLLOW UP 1","WAITING"))))</f>
        <v/>
      </c>
      <c r="M39" s="3" t="inlineStr"/>
      <c r="N39" s="3" t="inlineStr"/>
    </row>
    <row r="40">
      <c r="A40" s="3" t="inlineStr"/>
      <c r="B40" s="3" t="inlineStr"/>
      <c r="C40" s="3" t="inlineStr"/>
      <c r="D40" s="3" t="inlineStr"/>
      <c r="E40" s="3" t="inlineStr"/>
      <c r="F40" s="3" t="inlineStr"/>
      <c r="G40" s="3" t="n"/>
      <c r="H40" s="9" t="n"/>
      <c r="I40" s="8">
        <f>IF(ISNUMBER(H40),H40+7,"")</f>
        <v/>
      </c>
      <c r="J40" s="8">
        <f>IF(ISNUMBER(H40),H40+21,"")</f>
        <v/>
      </c>
      <c r="K40" s="3" t="inlineStr"/>
      <c r="L40" s="5">
        <f>IF(A40="","",IF(OR(K40="Booked",K40="Declined",K40="Closed - no reply",K40="Do not contact"),"CLOSED",IF(AND(ISNUMBER(J40),TODAY()&gt;J40),"CLOSE THE LOOP",IF(AND(ISNUMBER(I40),TODAY()&gt;I40),"FOLLOW UP 1","WAITING"))))</f>
        <v/>
      </c>
      <c r="M40" s="3" t="inlineStr"/>
      <c r="N40" s="3" t="inlineStr"/>
    </row>
    <row r="41">
      <c r="A41" s="3" t="inlineStr"/>
      <c r="B41" s="3" t="inlineStr"/>
      <c r="C41" s="3" t="inlineStr"/>
      <c r="D41" s="3" t="inlineStr"/>
      <c r="E41" s="3" t="inlineStr"/>
      <c r="F41" s="3" t="inlineStr"/>
      <c r="G41" s="3" t="n"/>
      <c r="H41" s="9" t="n"/>
      <c r="I41" s="8">
        <f>IF(ISNUMBER(H41),H41+7,"")</f>
        <v/>
      </c>
      <c r="J41" s="8">
        <f>IF(ISNUMBER(H41),H41+21,"")</f>
        <v/>
      </c>
      <c r="K41" s="3" t="inlineStr"/>
      <c r="L41" s="5">
        <f>IF(A41="","",IF(OR(K41="Booked",K41="Declined",K41="Closed - no reply",K41="Do not contact"),"CLOSED",IF(AND(ISNUMBER(J41),TODAY()&gt;J41),"CLOSE THE LOOP",IF(AND(ISNUMBER(I41),TODAY()&gt;I41),"FOLLOW UP 1","WAITING"))))</f>
        <v/>
      </c>
      <c r="M41" s="3" t="inlineStr"/>
      <c r="N41" s="3" t="inlineStr"/>
    </row>
    <row r="42">
      <c r="A42" s="3" t="inlineStr"/>
      <c r="B42" s="3" t="inlineStr"/>
      <c r="C42" s="3" t="inlineStr"/>
      <c r="D42" s="3" t="inlineStr"/>
      <c r="E42" s="3" t="inlineStr"/>
      <c r="F42" s="3" t="inlineStr"/>
      <c r="G42" s="3" t="n"/>
      <c r="H42" s="9" t="n"/>
      <c r="I42" s="9" t="inlineStr"/>
      <c r="J42" s="9" t="inlineStr"/>
      <c r="K42" s="3" t="inlineStr"/>
      <c r="L42" s="3" t="inlineStr"/>
      <c r="M42" s="3" t="inlineStr"/>
      <c r="N42" s="3" t="inlineStr"/>
    </row>
  </sheetData>
  <dataValidations count="2">
    <dataValidation sqref="G2:G41" showDropDown="0" showInputMessage="1" showErrorMessage="1" allowBlank="1" errorTitle="Fit score" error="Enter 1 (poor) to 5 (strong). Cut anything 3 or below." type="whole" operator="between">
      <formula1>1</formula1>
      <formula2>5</formula2>
    </dataValidation>
    <dataValidation sqref="K2:K41" showDropDown="0" showInputMessage="0" showErrorMessage="1" allowBlank="1" errorTitle="Status" error="Pick a status from the list." type="list">
      <formula1>"Pitched,Replied,Booked,Declined,Closed - no reply,Do not contact"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sheetPr>
  <dimension ref="A1:H42"/>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2" customWidth="1" min="3" max="3"/>
    <col width="12" customWidth="1" min="4" max="4"/>
    <col width="52" customWidth="1" min="5" max="5"/>
    <col width="11" customWidth="1" min="6" max="6"/>
  </cols>
  <sheetData>
    <row r="1">
      <c r="A1" s="1" t="inlineStr">
        <is>
          <t>Show</t>
        </is>
      </c>
      <c r="B1" s="1" t="inlineStr">
        <is>
          <t>Touch number</t>
        </is>
      </c>
      <c r="C1" s="1" t="inlineStr">
        <is>
          <t>Date sent</t>
        </is>
      </c>
      <c r="D1" s="1" t="inlineStr">
        <is>
          <t>Channel</t>
        </is>
      </c>
      <c r="E1" s="1" t="inlineStr">
        <is>
          <t>One-line value added (never just 'bumping this')</t>
        </is>
      </c>
      <c r="F1" s="1" t="inlineStr">
        <is>
          <t>Reply (Y/N)</t>
        </is>
      </c>
      <c r="H1" s="2" t="inlineStr">
        <is>
          <t>Two follow-ups maximum per show, then close. Touch number above 2 is a spam risk and Metrics will say so.</t>
        </is>
      </c>
    </row>
    <row r="2">
      <c r="A2" s="4" t="inlineStr">
        <is>
          <t>EXAMPLE The Small Biz Kitchen</t>
        </is>
      </c>
      <c r="B2" s="4" t="n">
        <v>1</v>
      </c>
      <c r="C2" s="7" t="inlineStr">
        <is>
          <t>2026-10-27</t>
        </is>
      </c>
      <c r="D2" s="4" t="inlineStr">
        <is>
          <t>Email</t>
        </is>
      </c>
      <c r="E2" s="4" t="inlineStr">
        <is>
          <t>EXAMPLE added the rate-benchmark table</t>
        </is>
      </c>
      <c r="F2" s="4" t="inlineStr">
        <is>
          <t>N</t>
        </is>
      </c>
    </row>
    <row r="3">
      <c r="A3" s="3" t="inlineStr"/>
      <c r="B3" s="3" t="n"/>
      <c r="C3" s="9" t="n"/>
      <c r="D3" s="3" t="inlineStr"/>
      <c r="E3" s="3" t="inlineStr"/>
      <c r="F3" s="3" t="inlineStr"/>
    </row>
    <row r="4">
      <c r="A4" s="3" t="inlineStr"/>
      <c r="B4" s="3" t="n"/>
      <c r="C4" s="9" t="n"/>
      <c r="D4" s="3" t="inlineStr"/>
      <c r="E4" s="3" t="inlineStr"/>
      <c r="F4" s="3" t="inlineStr"/>
    </row>
    <row r="5">
      <c r="A5" s="3" t="inlineStr"/>
      <c r="B5" s="3" t="n"/>
      <c r="C5" s="9" t="n"/>
      <c r="D5" s="3" t="inlineStr"/>
      <c r="E5" s="3" t="inlineStr"/>
      <c r="F5" s="3" t="inlineStr"/>
    </row>
    <row r="6">
      <c r="A6" s="3" t="inlineStr"/>
      <c r="B6" s="3" t="n"/>
      <c r="C6" s="9" t="n"/>
      <c r="D6" s="3" t="inlineStr"/>
      <c r="E6" s="3" t="inlineStr"/>
      <c r="F6" s="3" t="inlineStr"/>
    </row>
    <row r="7">
      <c r="A7" s="3" t="inlineStr"/>
      <c r="B7" s="3" t="n"/>
      <c r="C7" s="9" t="n"/>
      <c r="D7" s="3" t="inlineStr"/>
      <c r="E7" s="3" t="inlineStr"/>
      <c r="F7" s="3" t="inlineStr"/>
    </row>
    <row r="8">
      <c r="A8" s="3" t="inlineStr"/>
      <c r="B8" s="3" t="n"/>
      <c r="C8" s="9" t="n"/>
      <c r="D8" s="3" t="inlineStr"/>
      <c r="E8" s="3" t="inlineStr"/>
      <c r="F8" s="3" t="inlineStr"/>
    </row>
    <row r="9">
      <c r="A9" s="3" t="inlineStr"/>
      <c r="B9" s="3" t="n"/>
      <c r="C9" s="9" t="n"/>
      <c r="D9" s="3" t="inlineStr"/>
      <c r="E9" s="3" t="inlineStr"/>
      <c r="F9" s="3" t="inlineStr"/>
    </row>
    <row r="10">
      <c r="A10" s="3" t="inlineStr"/>
      <c r="B10" s="3" t="n"/>
      <c r="C10" s="9" t="n"/>
      <c r="D10" s="3" t="inlineStr"/>
      <c r="E10" s="3" t="inlineStr"/>
      <c r="F10" s="3" t="inlineStr"/>
    </row>
    <row r="11">
      <c r="A11" s="3" t="inlineStr"/>
      <c r="B11" s="3" t="n"/>
      <c r="C11" s="9" t="n"/>
      <c r="D11" s="3" t="inlineStr"/>
      <c r="E11" s="3" t="inlineStr"/>
      <c r="F11" s="3" t="inlineStr"/>
    </row>
    <row r="12">
      <c r="A12" s="3" t="inlineStr"/>
      <c r="B12" s="3" t="n"/>
      <c r="C12" s="9" t="n"/>
      <c r="D12" s="3" t="inlineStr"/>
      <c r="E12" s="3" t="inlineStr"/>
      <c r="F12" s="3" t="inlineStr"/>
    </row>
    <row r="13">
      <c r="A13" s="3" t="inlineStr"/>
      <c r="B13" s="3" t="n"/>
      <c r="C13" s="9" t="n"/>
      <c r="D13" s="3" t="inlineStr"/>
      <c r="E13" s="3" t="inlineStr"/>
      <c r="F13" s="3" t="inlineStr"/>
    </row>
    <row r="14">
      <c r="A14" s="3" t="inlineStr"/>
      <c r="B14" s="3" t="n"/>
      <c r="C14" s="9" t="n"/>
      <c r="D14" s="3" t="inlineStr"/>
      <c r="E14" s="3" t="inlineStr"/>
      <c r="F14" s="3" t="inlineStr"/>
    </row>
    <row r="15">
      <c r="A15" s="3" t="inlineStr"/>
      <c r="B15" s="3" t="n"/>
      <c r="C15" s="9" t="n"/>
      <c r="D15" s="3" t="inlineStr"/>
      <c r="E15" s="3" t="inlineStr"/>
      <c r="F15" s="3" t="inlineStr"/>
    </row>
    <row r="16">
      <c r="A16" s="3" t="inlineStr"/>
      <c r="B16" s="3" t="n"/>
      <c r="C16" s="9" t="n"/>
      <c r="D16" s="3" t="inlineStr"/>
      <c r="E16" s="3" t="inlineStr"/>
      <c r="F16" s="3" t="inlineStr"/>
    </row>
    <row r="17">
      <c r="A17" s="3" t="inlineStr"/>
      <c r="B17" s="3" t="n"/>
      <c r="C17" s="9" t="n"/>
      <c r="D17" s="3" t="inlineStr"/>
      <c r="E17" s="3" t="inlineStr"/>
      <c r="F17" s="3" t="inlineStr"/>
    </row>
    <row r="18">
      <c r="A18" s="3" t="inlineStr"/>
      <c r="B18" s="3" t="n"/>
      <c r="C18" s="9" t="n"/>
      <c r="D18" s="3" t="inlineStr"/>
      <c r="E18" s="3" t="inlineStr"/>
      <c r="F18" s="3" t="inlineStr"/>
    </row>
    <row r="19">
      <c r="A19" s="3" t="inlineStr"/>
      <c r="B19" s="3" t="n"/>
      <c r="C19" s="9" t="n"/>
      <c r="D19" s="3" t="inlineStr"/>
      <c r="E19" s="3" t="inlineStr"/>
      <c r="F19" s="3" t="inlineStr"/>
    </row>
    <row r="20">
      <c r="A20" s="3" t="inlineStr"/>
      <c r="B20" s="3" t="n"/>
      <c r="C20" s="9" t="n"/>
      <c r="D20" s="3" t="inlineStr"/>
      <c r="E20" s="3" t="inlineStr"/>
      <c r="F20" s="3" t="inlineStr"/>
    </row>
    <row r="21">
      <c r="A21" s="3" t="inlineStr"/>
      <c r="B21" s="3" t="n"/>
      <c r="C21" s="9" t="n"/>
      <c r="D21" s="3" t="inlineStr"/>
      <c r="E21" s="3" t="inlineStr"/>
      <c r="F21" s="3" t="inlineStr"/>
    </row>
    <row r="22">
      <c r="A22" s="3" t="inlineStr"/>
      <c r="B22" s="3" t="n"/>
      <c r="C22" s="9" t="n"/>
      <c r="D22" s="3" t="inlineStr"/>
      <c r="E22" s="3" t="inlineStr"/>
      <c r="F22" s="3" t="inlineStr"/>
    </row>
    <row r="23">
      <c r="A23" s="3" t="inlineStr"/>
      <c r="B23" s="3" t="n"/>
      <c r="C23" s="9" t="n"/>
      <c r="D23" s="3" t="inlineStr"/>
      <c r="E23" s="3" t="inlineStr"/>
      <c r="F23" s="3" t="inlineStr"/>
    </row>
    <row r="24">
      <c r="A24" s="3" t="inlineStr"/>
      <c r="B24" s="3" t="n"/>
      <c r="C24" s="9" t="n"/>
      <c r="D24" s="3" t="inlineStr"/>
      <c r="E24" s="3" t="inlineStr"/>
      <c r="F24" s="3" t="inlineStr"/>
    </row>
    <row r="25">
      <c r="A25" s="3" t="inlineStr"/>
      <c r="B25" s="3" t="n"/>
      <c r="C25" s="9" t="n"/>
      <c r="D25" s="3" t="inlineStr"/>
      <c r="E25" s="3" t="inlineStr"/>
      <c r="F25" s="3" t="inlineStr"/>
    </row>
    <row r="26">
      <c r="A26" s="3" t="inlineStr"/>
      <c r="B26" s="3" t="n"/>
      <c r="C26" s="9" t="n"/>
      <c r="D26" s="3" t="inlineStr"/>
      <c r="E26" s="3" t="inlineStr"/>
      <c r="F26" s="3" t="inlineStr"/>
    </row>
    <row r="27">
      <c r="A27" s="3" t="inlineStr"/>
      <c r="B27" s="3" t="n"/>
      <c r="C27" s="9" t="n"/>
      <c r="D27" s="3" t="inlineStr"/>
      <c r="E27" s="3" t="inlineStr"/>
      <c r="F27" s="3" t="inlineStr"/>
    </row>
    <row r="28">
      <c r="A28" s="3" t="inlineStr"/>
      <c r="B28" s="3" t="n"/>
      <c r="C28" s="9" t="n"/>
      <c r="D28" s="3" t="inlineStr"/>
      <c r="E28" s="3" t="inlineStr"/>
      <c r="F28" s="3" t="inlineStr"/>
    </row>
    <row r="29">
      <c r="A29" s="3" t="inlineStr"/>
      <c r="B29" s="3" t="n"/>
      <c r="C29" s="9" t="n"/>
      <c r="D29" s="3" t="inlineStr"/>
      <c r="E29" s="3" t="inlineStr"/>
      <c r="F29" s="3" t="inlineStr"/>
    </row>
    <row r="30">
      <c r="A30" s="3" t="inlineStr"/>
      <c r="B30" s="3" t="n"/>
      <c r="C30" s="9" t="n"/>
      <c r="D30" s="3" t="inlineStr"/>
      <c r="E30" s="3" t="inlineStr"/>
      <c r="F30" s="3" t="inlineStr"/>
    </row>
    <row r="31">
      <c r="A31" s="3" t="inlineStr"/>
      <c r="B31" s="3" t="n"/>
      <c r="C31" s="9" t="n"/>
      <c r="D31" s="3" t="inlineStr"/>
      <c r="E31" s="3" t="inlineStr"/>
      <c r="F31" s="3" t="inlineStr"/>
    </row>
    <row r="32">
      <c r="A32" s="3" t="inlineStr"/>
      <c r="B32" s="3" t="n"/>
      <c r="C32" s="9" t="n"/>
      <c r="D32" s="3" t="inlineStr"/>
      <c r="E32" s="3" t="inlineStr"/>
      <c r="F32" s="3" t="inlineStr"/>
    </row>
    <row r="33">
      <c r="A33" s="3" t="inlineStr"/>
      <c r="B33" s="3" t="n"/>
      <c r="C33" s="9" t="n"/>
      <c r="D33" s="3" t="inlineStr"/>
      <c r="E33" s="3" t="inlineStr"/>
      <c r="F33" s="3" t="inlineStr"/>
    </row>
    <row r="34">
      <c r="A34" s="3" t="inlineStr"/>
      <c r="B34" s="3" t="n"/>
      <c r="C34" s="9" t="n"/>
      <c r="D34" s="3" t="inlineStr"/>
      <c r="E34" s="3" t="inlineStr"/>
      <c r="F34" s="3" t="inlineStr"/>
    </row>
    <row r="35">
      <c r="A35" s="3" t="inlineStr"/>
      <c r="B35" s="3" t="n"/>
      <c r="C35" s="9" t="n"/>
      <c r="D35" s="3" t="inlineStr"/>
      <c r="E35" s="3" t="inlineStr"/>
      <c r="F35" s="3" t="inlineStr"/>
    </row>
    <row r="36">
      <c r="A36" s="3" t="inlineStr"/>
      <c r="B36" s="3" t="n"/>
      <c r="C36" s="9" t="n"/>
      <c r="D36" s="3" t="inlineStr"/>
      <c r="E36" s="3" t="inlineStr"/>
      <c r="F36" s="3" t="inlineStr"/>
    </row>
    <row r="37">
      <c r="A37" s="3" t="inlineStr"/>
      <c r="B37" s="3" t="n"/>
      <c r="C37" s="9" t="n"/>
      <c r="D37" s="3" t="inlineStr"/>
      <c r="E37" s="3" t="inlineStr"/>
      <c r="F37" s="3" t="inlineStr"/>
    </row>
    <row r="38">
      <c r="A38" s="3" t="inlineStr"/>
      <c r="B38" s="3" t="n"/>
      <c r="C38" s="9" t="n"/>
      <c r="D38" s="3" t="inlineStr"/>
      <c r="E38" s="3" t="inlineStr"/>
      <c r="F38" s="3" t="inlineStr"/>
    </row>
    <row r="39">
      <c r="A39" s="3" t="inlineStr"/>
      <c r="B39" s="3" t="n"/>
      <c r="C39" s="9" t="n"/>
      <c r="D39" s="3" t="inlineStr"/>
      <c r="E39" s="3" t="inlineStr"/>
      <c r="F39" s="3" t="inlineStr"/>
    </row>
    <row r="40">
      <c r="A40" s="3" t="inlineStr"/>
      <c r="B40" s="3" t="n"/>
      <c r="C40" s="9" t="n"/>
      <c r="D40" s="3" t="inlineStr"/>
      <c r="E40" s="3" t="inlineStr"/>
      <c r="F40" s="3" t="inlineStr"/>
    </row>
    <row r="41">
      <c r="A41" s="3" t="inlineStr"/>
      <c r="B41" s="3" t="n"/>
      <c r="C41" s="9" t="n"/>
      <c r="D41" s="3" t="inlineStr"/>
      <c r="E41" s="3" t="inlineStr"/>
      <c r="F41" s="3" t="inlineStr"/>
    </row>
    <row r="42">
      <c r="A42" s="3" t="inlineStr"/>
      <c r="B42" s="3" t="n"/>
      <c r="C42" s="9" t="n"/>
      <c r="D42" s="3" t="inlineStr"/>
      <c r="E42" s="3" t="inlineStr"/>
      <c r="F42" s="3" t="inlineStr"/>
    </row>
  </sheetData>
  <dataValidations count="2">
    <dataValidation sqref="B2:B41" showDropDown="0" showInputMessage="1" showErrorMessage="1" allowBlank="1" errorTitle="Touch number" error="1 = first follow-up (day 7), 2 = close (day 21). A 3 is spam - do not send it." type="whole" operator="between">
      <formula1>1</formula1>
      <formula2>4</formula2>
    </dataValidation>
    <dataValidation sqref="F2:F41" showDropDown="0" showInputMessage="0" showErrorMessage="1" allowBlank="1" errorTitle="Reply?" error="Enter Y or N." type="list">
      <formula1>"Y,N"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sheetPr>
  <dimension ref="A1:C15"/>
  <sheetViews>
    <sheetView workbookViewId="0">
      <pane ySplit="1" topLeftCell="A2" activePane="bottomLeft" state="frozen"/>
      <selection pane="bottomLeft" activeCell="A1" sqref="A1"/>
    </sheetView>
  </sheetViews>
  <sheetFormatPr baseColWidth="8" defaultRowHeight="15"/>
  <cols>
    <col width="42" customWidth="1" min="1" max="1"/>
    <col width="30" customWidth="1" min="2" max="2"/>
    <col width="62" customWidth="1" min="3" max="3"/>
  </cols>
  <sheetData>
    <row r="1">
      <c r="A1" s="1" t="inlineStr">
        <is>
          <t>KPI</t>
        </is>
      </c>
      <c r="B1" s="1" t="inlineStr">
        <is>
          <t>Value</t>
        </is>
      </c>
      <c r="C1" s="1" t="inlineStr">
        <is>
          <t>How it is computed</t>
        </is>
      </c>
    </row>
    <row r="2">
      <c r="A2" s="3" t="inlineStr">
        <is>
          <t>Shows on the target list</t>
        </is>
      </c>
      <c r="B2" s="5">
        <f>COUNTA(Pipeline!$A$2:$A$41)</f>
        <v/>
      </c>
      <c r="C2" s="3" t="inlineStr">
        <is>
          <t>Rows with a show name</t>
        </is>
      </c>
    </row>
    <row r="3">
      <c r="A3" s="3" t="inlineStr">
        <is>
          <t>Pitches sent</t>
        </is>
      </c>
      <c r="B3" s="5">
        <f>COUNT(Pipeline!$H$2:$H$41)</f>
        <v/>
      </c>
      <c r="C3" s="3" t="inlineStr">
        <is>
          <t>Rows with a real pitch date</t>
        </is>
      </c>
    </row>
    <row r="4">
      <c r="A4" s="3" t="inlineStr">
        <is>
          <t>Replies</t>
        </is>
      </c>
      <c r="B4" s="6">
        <f>COUNTIF(Pipeline!$K$2:$K$41,"Replied")+COUNTIF(Pipeline!$K$2:$K$41,"Booked")</f>
        <v/>
      </c>
      <c r="C4" s="3" t="inlineStr">
        <is>
          <t>Replied + Booked</t>
        </is>
      </c>
    </row>
    <row r="5">
      <c r="A5" s="3" t="inlineStr">
        <is>
          <t>Reply rate</t>
        </is>
      </c>
      <c r="B5" s="5">
        <f>IFERROR(B3/B2,"")</f>
        <v/>
      </c>
      <c r="C5" s="3" t="inlineStr">
        <is>
          <t>Replies / pitches sent</t>
        </is>
      </c>
    </row>
    <row r="6">
      <c r="A6" s="3" t="inlineStr">
        <is>
          <t>Bookings</t>
        </is>
      </c>
      <c r="B6" s="6">
        <f>COUNTIF(Pipeline!$K$2:$K$41,"Booked")</f>
        <v/>
      </c>
      <c r="C6" s="3" t="inlineStr">
        <is>
          <t>Status = Booked</t>
        </is>
      </c>
    </row>
    <row r="7">
      <c r="A7" s="3" t="inlineStr">
        <is>
          <t>Booking rate</t>
        </is>
      </c>
      <c r="B7" s="5">
        <f>IFERROR(B5/B2,"")</f>
        <v/>
      </c>
      <c r="C7" s="3" t="inlineStr">
        <is>
          <t>Bookings / pitches sent</t>
        </is>
      </c>
    </row>
    <row r="8">
      <c r="A8" s="3" t="inlineStr">
        <is>
          <t>Closed without a reply</t>
        </is>
      </c>
      <c r="B8" s="5">
        <f>COUNTIF(Pipeline!$K$2:$K$41,"Closed - no reply")</f>
        <v/>
      </c>
      <c r="C8" s="3" t="inlineStr">
        <is>
          <t>The honest baseline your next quarter is measured against</t>
        </is>
      </c>
    </row>
    <row r="9">
      <c r="A9" s="3" t="inlineStr">
        <is>
          <t>Shows cut as poor fit (score 3 or below)</t>
        </is>
      </c>
      <c r="B9" s="5">
        <f>COUNTIF(Pipeline!$G$2:$G$41,"&lt;=3")</f>
        <v/>
      </c>
      <c r="C9" s="3" t="inlineStr">
        <is>
          <t>Rows you should delete rather than pitch</t>
        </is>
      </c>
    </row>
    <row r="10">
      <c r="A10" s="3" t="inlineStr">
        <is>
          <t>Cadence overdue</t>
        </is>
      </c>
      <c r="B10" s="5">
        <f>COUNTIF(Pipeline!$L$2:$L$41,"FOLLOW UP 1")+COUNTIF(Pipeline!$L$2:$L$41,"CLOSE THE LOOP")</f>
        <v/>
      </c>
      <c r="C10" s="3" t="inlineStr">
        <is>
          <t>Rows the cadence says are due today or earlier</t>
        </is>
      </c>
    </row>
    <row r="11">
      <c r="A11" s="3" t="inlineStr">
        <is>
          <t>Spam risk (any touch number above 2)</t>
        </is>
      </c>
      <c r="B11" s="5">
        <f>COUNTIF(FollowUps!$B$2:$B$41,"&gt;2")</f>
        <v/>
      </c>
      <c r="C11" s="3" t="inlineStr">
        <is>
          <t>Must stay 0 - a third follow-up is a request to be filtered</t>
        </is>
      </c>
    </row>
    <row r="12">
      <c r="A12" s="3" t="inlineStr">
        <is>
          <t>Assets ready (of 10)</t>
        </is>
      </c>
      <c r="B12" s="5">
        <f>COUNTIF(Assets!$D$2:$D$11,"Y")</f>
        <v/>
      </c>
      <c r="C12" s="3" t="inlineStr">
        <is>
          <t>Rows marked Y on Assets</t>
        </is>
      </c>
    </row>
    <row r="13">
      <c r="A13" s="3" t="inlineStr">
        <is>
          <t>Assets status</t>
        </is>
      </c>
      <c r="B13" s="5">
        <f>IF(B12&lt;10,"BUILD THE MISSING ASSETS BEFORE PITCHING","ASSETS READY")</f>
        <v/>
      </c>
      <c r="C13" s="3" t="inlineStr">
        <is>
          <t>All ten assets must be ready before the first pitch</t>
        </is>
      </c>
    </row>
    <row r="14">
      <c r="A14" s="3" t="inlineStr">
        <is>
          <t>Best angle so far</t>
        </is>
      </c>
      <c r="B14" s="5">
        <f>IFERROR(IF(MAX(Angles!$H$2:$H$6)=0,"",INDEX(Angles!$B$2:$B$6,MATCH(MAX(Angles!$H$2:$H$6),Angles!$H$2:$H$6,0))),"")</f>
        <v/>
      </c>
      <c r="C14" s="3" t="inlineStr">
        <is>
          <t>Highest reply rate among the angles you have actually pitched</t>
        </is>
      </c>
    </row>
    <row r="15">
      <c r="A15" s="3" t="inlineStr">
        <is>
          <t>Read this honestly</t>
        </is>
      </c>
      <c r="B15" s="5">
        <f>IF(B2=0,"No pitches yet - build the assets first",IF(B2&lt;10,"Under 10 pitches: too early to read a trend",IF(B13&lt;&gt;"ASSETS READY","Assets incomplete - fix that first",IF(B10&gt;0,"SPAM RISK - stop sending third follow-ups","Judge batches, not single emails. Change one thing at a time."))))</f>
        <v/>
      </c>
      <c r="C15" s="3" t="inlineStr">
        <is>
          <t>Change one variable at a time so an improvement has a cause you can name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10" customWidth="1" min="1" max="1"/>
  </cols>
  <sheetData>
    <row r="1">
      <c r="A1" s="10" t="inlineStr">
        <is>
          <t>B12-005 Podcast Guest Booking Kit - TRACKER, HOW TO USE</t>
        </is>
      </c>
    </row>
    <row r="2"/>
    <row r="3">
      <c r="A3" s="11" t="inlineStr">
        <is>
          <t>1) Assets first. Fill the Assets sheet and mark each row Y only when the asset genuinely exists. Metrics stays on BUILD THE MISSING ASSETS for as long as any row is N - a pitch sent without an angle, proof and a lead magnet is a coin flip.</t>
        </is>
      </c>
    </row>
    <row r="4">
      <c r="A4" s="11" t="inlineStr">
        <is>
          <t>2) Angles. Write two to five specific, arguable claims with the proof you can cite. The sheet computes each angle's pitches and reply rate from Pipeline, so you can see which angle is actually wanted. Retire the weakest after about 15 pitches.</t>
        </is>
      </c>
    </row>
    <row r="5">
      <c r="A5" s="11" t="inlineStr">
        <is>
          <t>3) Pipeline. One row per show. Fill Show, host, network, episode-you-heard, contact route, angle, fit score (1-5) and pitch date (white cells). Follow-up 1 due (day 7), Follow-up 2 due (day 21) and Cadence are computed - do not overwrite the blue cells. Cut any show scoring 3 or below: delete the row rather than pitch it.</t>
        </is>
      </c>
    </row>
    <row r="6">
      <c r="A6" s="11" t="inlineStr">
        <is>
          <t>4) FollowUps. Log every touch. Touch number 1 is the day-7 follow-up, 2 is the day-21 close. There is no 3 - the entry warns you and Metrics reports SPAM RISK, because a third follow-up is how you get filtered. Never send an empty bump; always add one line of real value.</t>
        </is>
      </c>
    </row>
    <row r="7">
      <c r="A7" s="11" t="inlineStr">
        <is>
          <t>5) Metrics. The scoreboard, computed from your own rows: pitches, replies, reply rate, bookings, booking rate, closed-without-reply, cadence overdue, spam risk, and the best-performing angle. Anything under 10 pitches is too early to read a trend - judge batches, not single emails.</t>
        </is>
      </c>
    </row>
    <row r="8">
      <c r="A8" s="11" t="inlineStr">
        <is>
          <t>6) Weekly ritual, 45 minutes: rank and cut new shows, send this week's pitches, work the rows Cadence marks due, update statuses honestly, glance at Metrics, close it. Pair this with the B12-005 PDF (the method, the five scripts, and the ten mistakes).</t>
        </is>
      </c>
    </row>
    <row r="9">
      <c r="A9" s="11" t="inlineStr">
        <is>
          <t>7) This is an organising tool for YOUR OWN guest outreach. It contacts no one, subscribes you to no database, and promises no bookings. It is not PR, legal or financial advice.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2026-10-19T09:06:27Z</dcterms:created>
  <dcterms:modified xmlns:dcterms="http://purl.org/dc/terms/" xmlns:xsi="http://www.w3.org/2001/XMLSchema-instance" xsi:type="dcterms:W3CDTF">2026-10-19T09:06:27Z</dcterms:modified>
</cp:coreProperties>
</file>