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Docs" sheetId="2" state="visible" r:id="rId2"/>
    <sheet xmlns:r="http://schemas.openxmlformats.org/officeDocument/2006/relationships" name="Budget" sheetId="3" state="visible" r:id="rId3"/>
    <sheet xmlns:r="http://schemas.openxmlformats.org/officeDocument/2006/relationships" name="Timeline" sheetId="4" state="visible" r:id="rId4"/>
    <sheet xmlns:r="http://schemas.openxmlformats.org/officeDocument/2006/relationships" name="Dashboard" sheetId="5" state="visible" r:id="rId5"/>
    <sheet xmlns:r="http://schemas.openxmlformats.org/officeDocument/2006/relationships" name="Stages" sheetId="6" state="visible" r:id="rId6"/>
    <sheet xmlns:r="http://schemas.openxmlformats.org/officeDocument/2006/relationships" name="Eligibility" sheetId="7" state="visible" r:id="rId7"/>
    <sheet xmlns:r="http://schemas.openxmlformats.org/officeDocument/2006/relationships" name="DocLibrary" sheetId="8" state="visible" r:id="rId8"/>
    <sheet xmlns:r="http://schemas.openxmlformats.org/officeDocument/2006/relationships" name="README" sheetId="9" state="visible" r:id="rId9"/>
  </sheets>
  <definedNames/>
  <calcPr calcId="124519" fullCalcOnLoad="1"/>
</workbook>
</file>

<file path=xl/styles.xml><?xml version="1.0" encoding="utf-8"?>
<styleSheet xmlns="http://schemas.openxmlformats.org/spreadsheetml/2006/main">
  <numFmts count="2">
    <numFmt numFmtId="164" formatCode="&quot;$&quot;#,##0"/>
    <numFmt numFmtId="165" formatCode="yyyy-mm-dd"/>
  </numFmts>
  <fonts count="4">
    <font>
      <name val="Calibri"/>
      <family val="2"/>
      <color theme="1"/>
      <sz val="11"/>
      <scheme val="minor"/>
    </font>
    <font>
      <b val="1"/>
      <color rgb="00FFFFFF"/>
      <sz val="11"/>
    </font>
    <font>
      <i val="1"/>
    </font>
    <font>
      <b val="1"/>
      <sz val="13"/>
    </font>
  </fonts>
  <fills count="5">
    <fill>
      <patternFill/>
    </fill>
    <fill>
      <patternFill patternType="gray125"/>
    </fill>
    <fill>
      <patternFill patternType="solid">
        <fgColor rgb="001F3864"/>
      </patternFill>
    </fill>
    <fill>
      <patternFill patternType="solid">
        <fgColor rgb="00FFF2CC"/>
      </patternFill>
    </fill>
    <fill>
      <patternFill patternType="solid">
        <fgColor rgb="00DDEBF7"/>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top" wrapText="1"/>
    </xf>
    <xf numFmtId="0" fontId="2" fillId="0" borderId="0" pivotButton="0" quotePrefix="0" xfId="0"/>
    <xf numFmtId="0" fontId="0" fillId="3" borderId="1" applyAlignment="1" pivotButton="0" quotePrefix="0" xfId="0">
      <alignment vertical="top" wrapText="1"/>
    </xf>
    <xf numFmtId="164" fontId="0" fillId="3" borderId="1" applyAlignment="1" pivotButton="0" quotePrefix="0" xfId="0">
      <alignment vertical="top" wrapText="1"/>
    </xf>
    <xf numFmtId="165" fontId="0" fillId="3" borderId="1" applyAlignment="1" pivotButton="0" quotePrefix="0" xfId="0">
      <alignment vertical="top" wrapText="1"/>
    </xf>
    <xf numFmtId="0" fontId="0" fillId="4" borderId="1" applyAlignment="1" pivotButton="0" quotePrefix="0" xfId="0">
      <alignment vertical="top" wrapText="1"/>
    </xf>
    <xf numFmtId="1" fontId="0" fillId="4" borderId="1" applyAlignment="1" pivotButton="0" quotePrefix="0" xfId="0">
      <alignment vertical="top" wrapText="1"/>
    </xf>
    <xf numFmtId="165" fontId="0" fillId="4" borderId="0" pivotButton="0" quotePrefix="0" xfId="0"/>
    <xf numFmtId="0" fontId="0"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165" fontId="0" fillId="4" borderId="1" applyAlignment="1" pivotButton="0" quotePrefix="0" xfId="0">
      <alignment vertical="top" wrapText="1"/>
    </xf>
    <xf numFmtId="9" fontId="0" fillId="4" borderId="1" applyAlignment="1" pivotButton="0" quotePrefix="0" xfId="0">
      <alignment vertical="top" wrapText="1"/>
    </xf>
    <xf numFmtId="164" fontId="0" fillId="4" borderId="1" applyAlignment="1" pivotButton="0" quotePrefix="0" xfId="0">
      <alignment vertical="top" wrapText="1"/>
    </xf>
    <xf numFmtId="0" fontId="1" fillId="2"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X41"/>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30" customWidth="1" min="3" max="3"/>
    <col width="16" customWidth="1" min="4" max="4"/>
    <col width="12" customWidth="1" min="5" max="5"/>
    <col width="14" customWidth="1" min="6" max="6"/>
    <col width="14" customWidth="1" min="7" max="7"/>
    <col width="12" customWidth="1" min="8" max="8"/>
    <col width="14" customWidth="1" min="9" max="9"/>
    <col width="10" customWidth="1" min="10" max="10"/>
    <col width="34" customWidth="1" min="11" max="11"/>
    <col width="34" customWidth="1" min="12" max="12"/>
    <col width="12" customWidth="1" min="13" max="13"/>
    <col width="12" customWidth="1" min="14" max="14"/>
    <col width="13" customWidth="1" min="15" max="15"/>
    <col width="11" customWidth="1" min="16" max="16"/>
    <col width="11" customWidth="1" min="17" max="17"/>
    <col width="11" customWidth="1" min="18" max="18"/>
    <col width="17" customWidth="1" min="19" max="19"/>
    <col width="22" customWidth="1" min="20" max="20"/>
    <col width="40" customWidth="1" min="21" max="21"/>
    <col width="14" customWidth="1" min="22" max="22"/>
  </cols>
  <sheetData>
    <row r="1">
      <c r="A1" s="1" t="inlineStr">
        <is>
          <t>ID</t>
        </is>
      </c>
      <c r="B1" s="1" t="inlineStr">
        <is>
          <t>Funder</t>
        </is>
      </c>
      <c r="C1" s="1" t="inlineStr">
        <is>
          <t>Program</t>
        </is>
      </c>
      <c r="D1" s="1" t="inlineStr">
        <is>
          <t>Focus area</t>
        </is>
      </c>
      <c r="E1" s="1" t="inlineStr">
        <is>
          <t>Geography</t>
        </is>
      </c>
      <c r="F1" s="1" t="inlineStr">
        <is>
          <t>Award min (USD)</t>
        </is>
      </c>
      <c r="G1" s="1" t="inlineStr">
        <is>
          <t>Award max (USD)</t>
        </is>
      </c>
      <c r="H1" s="1" t="inlineStr">
        <is>
          <t>Deadline</t>
        </is>
      </c>
      <c r="I1" s="1" t="inlineStr">
        <is>
          <t>Status</t>
        </is>
      </c>
      <c r="J1" s="1" t="inlineStr">
        <is>
          <t>Owner</t>
        </is>
      </c>
      <c r="K1" s="1" t="inlineStr">
        <is>
          <t>Source URL</t>
        </is>
      </c>
      <c r="L1" s="1" t="inlineStr">
        <is>
          <t>Next action</t>
        </is>
      </c>
      <c r="M1" s="1" t="inlineStr">
        <is>
          <t>Submitted</t>
        </is>
      </c>
      <c r="N1" s="1" t="inlineStr">
        <is>
          <t>Decision</t>
        </is>
      </c>
      <c r="O1" s="1" t="inlineStr">
        <is>
          <t>Awarded (USD)</t>
        </is>
      </c>
      <c r="P1" s="1" t="inlineStr">
        <is>
          <t>Docs ready</t>
        </is>
      </c>
      <c r="Q1" s="1" t="inlineStr">
        <is>
          <t>Docs gap</t>
        </is>
      </c>
      <c r="R1" s="1" t="inlineStr">
        <is>
          <t>Days to deadline</t>
        </is>
      </c>
      <c r="S1" s="1" t="inlineStr">
        <is>
          <t>Deadline state</t>
        </is>
      </c>
      <c r="T1" s="1" t="inlineStr">
        <is>
          <t>Duplicate?</t>
        </is>
      </c>
      <c r="U1" s="1" t="inlineStr">
        <is>
          <t>Row check</t>
        </is>
      </c>
      <c r="V1" s="1" t="inlineStr">
        <is>
          <t>Open deadline (helper)</t>
        </is>
      </c>
      <c r="X1" s="2" t="inlineStr">
        <is>
          <t>White cells are yours to fill. Blue cells are computed - do not overwrite them. Yellow rows are EXAMPLES - overwrite or delete them.</t>
        </is>
      </c>
    </row>
    <row r="2">
      <c r="A2" s="3" t="inlineStr">
        <is>
          <t>EX-001</t>
        </is>
      </c>
      <c r="B2" s="3" t="inlineStr">
        <is>
          <t>EXAMPLE Northfield Community Trust</t>
        </is>
      </c>
      <c r="C2" s="3" t="inlineStr">
        <is>
          <t>EXAMPLE Youth Arts Grant</t>
        </is>
      </c>
      <c r="D2" s="3" t="inlineStr">
        <is>
          <t>Arts education</t>
        </is>
      </c>
      <c r="E2" s="3" t="inlineStr">
        <is>
          <t>Regional</t>
        </is>
      </c>
      <c r="F2" s="4" t="n">
        <v>5000</v>
      </c>
      <c r="G2" s="4" t="n">
        <v>15000</v>
      </c>
      <c r="H2" s="5" t="n">
        <v>46461</v>
      </c>
      <c r="I2" s="3" t="inlineStr">
        <is>
          <t>Research</t>
        </is>
      </c>
      <c r="J2" s="3" t="inlineStr">
        <is>
          <t>Sam</t>
        </is>
      </c>
      <c r="K2" s="3" t="inlineStr">
        <is>
          <t>https://example.org/northfield-guidelines</t>
        </is>
      </c>
      <c r="L2" s="3" t="inlineStr">
        <is>
          <t>Confirm eligibility, then draft the narrative</t>
        </is>
      </c>
      <c r="M2" s="5" t="n"/>
      <c r="N2" s="5" t="n"/>
      <c r="O2" s="4" t="n"/>
      <c r="P2" s="6">
        <f>IF($A2="","",COUNTIFS(Docs!$A$2:$A$201,$A2,Docs!$C$2:$C$201,"Y",Docs!$D$2:$D$201,"Y")&amp;"/"&amp;COUNTIFS(Docs!$A$2:$A$201,$A2,Docs!$C$2:$C$201,"Y"))</f>
        <v/>
      </c>
      <c r="Q2" s="6">
        <f>IF($A2="","",IF(COUNTIFS(Docs!$A$2:$A$201,$A2,Docs!$C$2:$C$201,"Y",Docs!$D$2:$D$201,"N")&gt;0,"MISSING","OK"))</f>
        <v/>
      </c>
      <c r="R2" s="7">
        <f>IF(AND($A2&lt;&gt;"",ISNUMBER($H2)),$H2-TODAY(),"")</f>
        <v/>
      </c>
      <c r="S2" s="6">
        <f>IF($A2="","",IF(OR($I2="Awarded",$I2="Declined",$I2="Withdrawn"),"CLOSED",IF(NOT(ISNUMBER($H2)),"NO DEADLINE SET",IF($H2&lt;TODAY(),"OVERDUE "&amp;TODAY()-$H2&amp;" DAYS",IF($H2-TODAY()&lt;=14,"DUE IN "&amp;$H2-TODAY()&amp;" DAYS","OPEN")))))</f>
        <v/>
      </c>
      <c r="T2" s="6">
        <f>IF($A2="","",IF(COUNTIFS($B$2:$B$41,$B2,$C$2:$C$41,$C2)&gt;1,"DUPLICATE OF ANOTHER ROW",""))</f>
        <v/>
      </c>
      <c r="U2" s="6">
        <f>IF($A2="","",IF($B2="","No funder name. ","")&amp;IF(AND(ISNUMBER($F2),ISNUMBER($G2),$G2&lt;$F2),"Award max is below award min. ","")&amp;IF(AND($I2="Submitted",NOT(ISNUMBER($M2))),"Status is Submitted but there is no submitted date. ","")&amp;IF(AND($I2="Awarded",NOT(ISNUMBER($O2))),"Status is Awarded but there is no awarded amount. ","")&amp;IF(AND($I2&lt;&gt;"Research",$I2&lt;&gt;"",NOT(ISNUMBER($H2))),"There is no deadline date. ","")&amp;IF(AND(ISNUMBER($O2),ISNUMBER($G2),$O2&gt;$G2),"Awarded amount is above the award max you recorded. ",""))</f>
        <v/>
      </c>
      <c r="V2" s="8">
        <f>IF(AND($A2&lt;&gt;"",ISNUMBER($H2),$I2&lt;&gt;"Awarded",$I2&lt;&gt;"Declined",$I2&lt;&gt;"Withdrawn"),$H2,"")</f>
        <v/>
      </c>
    </row>
    <row r="3">
      <c r="A3" s="3" t="inlineStr">
        <is>
          <t>EX-002</t>
        </is>
      </c>
      <c r="B3" s="3" t="inlineStr">
        <is>
          <t>EXAMPLE Riverside Health Foundation</t>
        </is>
      </c>
      <c r="C3" s="3" t="inlineStr">
        <is>
          <t>EXAMPLE Community Wellness Grant</t>
        </is>
      </c>
      <c r="D3" s="3" t="inlineStr">
        <is>
          <t>Health</t>
        </is>
      </c>
      <c r="E3" s="3" t="inlineStr">
        <is>
          <t>Statewide</t>
        </is>
      </c>
      <c r="F3" s="4" t="n">
        <v>10000</v>
      </c>
      <c r="G3" s="4" t="n">
        <v>25000</v>
      </c>
      <c r="H3" s="5" t="n">
        <v>46328</v>
      </c>
      <c r="I3" s="3" t="inlineStr">
        <is>
          <t>Drafting</t>
        </is>
      </c>
      <c r="J3" s="3" t="inlineStr">
        <is>
          <t>Priya</t>
        </is>
      </c>
      <c r="K3" s="3" t="inlineStr">
        <is>
          <t>https://example.org/riverside-apply</t>
        </is>
      </c>
      <c r="L3" s="3" t="inlineStr">
        <is>
          <t>Finish the outcomes table</t>
        </is>
      </c>
      <c r="M3" s="5" t="n"/>
      <c r="N3" s="5" t="n"/>
      <c r="O3" s="4" t="n"/>
      <c r="P3" s="6">
        <f>IF($A3="","",COUNTIFS(Docs!$A$2:$A$201,$A3,Docs!$C$2:$C$201,"Y",Docs!$D$2:$D$201,"Y")&amp;"/"&amp;COUNTIFS(Docs!$A$2:$A$201,$A3,Docs!$C$2:$C$201,"Y"))</f>
        <v/>
      </c>
      <c r="Q3" s="6">
        <f>IF($A3="","",IF(COUNTIFS(Docs!$A$2:$A$201,$A3,Docs!$C$2:$C$201,"Y",Docs!$D$2:$D$201,"N")&gt;0,"MISSING","OK"))</f>
        <v/>
      </c>
      <c r="R3" s="7">
        <f>IF(AND($A3&lt;&gt;"",ISNUMBER($H3)),$H3-TODAY(),"")</f>
        <v/>
      </c>
      <c r="S3" s="6">
        <f>IF($A3="","",IF(OR($I3="Awarded",$I3="Declined",$I3="Withdrawn"),"CLOSED",IF(NOT(ISNUMBER($H3)),"NO DEADLINE SET",IF($H3&lt;TODAY(),"OVERDUE "&amp;TODAY()-$H3&amp;" DAYS",IF($H3-TODAY()&lt;=14,"DUE IN "&amp;$H3-TODAY()&amp;" DAYS","OPEN")))))</f>
        <v/>
      </c>
      <c r="T3" s="6">
        <f>IF($A3="","",IF(COUNTIFS($B$2:$B$41,$B3,$C$2:$C$41,$C3)&gt;1,"DUPLICATE OF ANOTHER ROW",""))</f>
        <v/>
      </c>
      <c r="U3" s="6">
        <f>IF($A3="","",IF($B3="","No funder name. ","")&amp;IF(AND(ISNUMBER($F3),ISNUMBER($G3),$G3&lt;$F3),"Award max is below award min. ","")&amp;IF(AND($I3="Submitted",NOT(ISNUMBER($M3))),"Status is Submitted but there is no submitted date. ","")&amp;IF(AND($I3="Awarded",NOT(ISNUMBER($O3))),"Status is Awarded but there is no awarded amount. ","")&amp;IF(AND($I3&lt;&gt;"Research",$I3&lt;&gt;"",NOT(ISNUMBER($H3))),"There is no deadline date. ","")&amp;IF(AND(ISNUMBER($O3),ISNUMBER($G3),$O3&gt;$G3),"Awarded amount is above the award max you recorded. ",""))</f>
        <v/>
      </c>
      <c r="V3" s="8">
        <f>IF(AND($A3&lt;&gt;"",ISNUMBER($H3),$I3&lt;&gt;"Awarded",$I3&lt;&gt;"Declined",$I3&lt;&gt;"Withdrawn"),$H3,"")</f>
        <v/>
      </c>
    </row>
    <row r="4">
      <c r="A4" s="3" t="inlineStr">
        <is>
          <t>EX-003</t>
        </is>
      </c>
      <c r="B4" s="3" t="inlineStr">
        <is>
          <t>EXAMPLE State Arts Council</t>
        </is>
      </c>
      <c r="C4" s="3" t="inlineStr">
        <is>
          <t>EXAMPLE Operating Support</t>
        </is>
      </c>
      <c r="D4" s="3" t="inlineStr">
        <is>
          <t>Arts</t>
        </is>
      </c>
      <c r="E4" s="3" t="inlineStr">
        <is>
          <t>Statewide</t>
        </is>
      </c>
      <c r="F4" s="4" t="n">
        <v>7500</v>
      </c>
      <c r="G4" s="4" t="n">
        <v>20000</v>
      </c>
      <c r="H4" s="5" t="n">
        <v>46204</v>
      </c>
      <c r="I4" s="3" t="inlineStr">
        <is>
          <t>Awarded</t>
        </is>
      </c>
      <c r="J4" s="3" t="inlineStr">
        <is>
          <t>Sam</t>
        </is>
      </c>
      <c r="K4" s="3" t="inlineStr">
        <is>
          <t>https://example.org/state-arts</t>
        </is>
      </c>
      <c r="L4" s="3" t="inlineStr">
        <is>
          <t>Log the first report due date on Timeline</t>
        </is>
      </c>
      <c r="M4" s="5" t="n">
        <v>46178</v>
      </c>
      <c r="N4" s="5" t="n">
        <v>46296</v>
      </c>
      <c r="O4" s="4" t="n">
        <v>15000</v>
      </c>
      <c r="P4" s="6">
        <f>IF($A4="","",COUNTIFS(Docs!$A$2:$A$201,$A4,Docs!$C$2:$C$201,"Y",Docs!$D$2:$D$201,"Y")&amp;"/"&amp;COUNTIFS(Docs!$A$2:$A$201,$A4,Docs!$C$2:$C$201,"Y"))</f>
        <v/>
      </c>
      <c r="Q4" s="6">
        <f>IF($A4="","",IF(COUNTIFS(Docs!$A$2:$A$201,$A4,Docs!$C$2:$C$201,"Y",Docs!$D$2:$D$201,"N")&gt;0,"MISSING","OK"))</f>
        <v/>
      </c>
      <c r="R4" s="7">
        <f>IF(AND($A4&lt;&gt;"",ISNUMBER($H4)),$H4-TODAY(),"")</f>
        <v/>
      </c>
      <c r="S4" s="6">
        <f>IF($A4="","",IF(OR($I4="Awarded",$I4="Declined",$I4="Withdrawn"),"CLOSED",IF(NOT(ISNUMBER($H4)),"NO DEADLINE SET",IF($H4&lt;TODAY(),"OVERDUE "&amp;TODAY()-$H4&amp;" DAYS",IF($H4-TODAY()&lt;=14,"DUE IN "&amp;$H4-TODAY()&amp;" DAYS","OPEN")))))</f>
        <v/>
      </c>
      <c r="T4" s="6">
        <f>IF($A4="","",IF(COUNTIFS($B$2:$B$41,$B4,$C$2:$C$41,$C4)&gt;1,"DUPLICATE OF ANOTHER ROW",""))</f>
        <v/>
      </c>
      <c r="U4" s="6">
        <f>IF($A4="","",IF($B4="","No funder name. ","")&amp;IF(AND(ISNUMBER($F4),ISNUMBER($G4),$G4&lt;$F4),"Award max is below award min. ","")&amp;IF(AND($I4="Submitted",NOT(ISNUMBER($M4))),"Status is Submitted but there is no submitted date. ","")&amp;IF(AND($I4="Awarded",NOT(ISNUMBER($O4))),"Status is Awarded but there is no awarded amount. ","")&amp;IF(AND($I4&lt;&gt;"Research",$I4&lt;&gt;"",NOT(ISNUMBER($H4))),"There is no deadline date. ","")&amp;IF(AND(ISNUMBER($O4),ISNUMBER($G4),$O4&gt;$G4),"Awarded amount is above the award max you recorded. ",""))</f>
        <v/>
      </c>
      <c r="V4" s="8">
        <f>IF(AND($A4&lt;&gt;"",ISNUMBER($H4),$I4&lt;&gt;"Awarded",$I4&lt;&gt;"Declined",$I4&lt;&gt;"Withdrawn"),$H4,"")</f>
        <v/>
      </c>
    </row>
    <row r="5">
      <c r="A5" s="3" t="inlineStr">
        <is>
          <t>EX-004</t>
        </is>
      </c>
      <c r="B5" s="3" t="inlineStr">
        <is>
          <t>EXAMPLE Northfield Community Trust</t>
        </is>
      </c>
      <c r="C5" s="3" t="inlineStr">
        <is>
          <t>EXAMPLE Youth Arts Grant</t>
        </is>
      </c>
      <c r="D5" s="3" t="inlineStr">
        <is>
          <t>Arts education</t>
        </is>
      </c>
      <c r="E5" s="3" t="inlineStr">
        <is>
          <t>Regional</t>
        </is>
      </c>
      <c r="F5" s="4" t="n">
        <v>5000</v>
      </c>
      <c r="G5" s="4" t="n">
        <v>15000</v>
      </c>
      <c r="H5" s="5" t="n">
        <v>46461</v>
      </c>
      <c r="I5" s="3" t="inlineStr">
        <is>
          <t>Research</t>
        </is>
      </c>
      <c r="J5" s="3" t="inlineStr">
        <is>
          <t>Sam</t>
        </is>
      </c>
      <c r="K5" s="3" t="inlineStr">
        <is>
          <t>https://example.org/northfield-guidelines</t>
        </is>
      </c>
      <c r="L5" s="3" t="inlineStr">
        <is>
          <t>EXAMPLE duplicate of EX-001 - delete this row or merge the notes</t>
        </is>
      </c>
      <c r="M5" s="5" t="n"/>
      <c r="N5" s="5" t="n"/>
      <c r="O5" s="4" t="n"/>
      <c r="P5" s="6">
        <f>IF($A5="","",COUNTIFS(Docs!$A$2:$A$201,$A5,Docs!$C$2:$C$201,"Y",Docs!$D$2:$D$201,"Y")&amp;"/"&amp;COUNTIFS(Docs!$A$2:$A$201,$A5,Docs!$C$2:$C$201,"Y"))</f>
        <v/>
      </c>
      <c r="Q5" s="6">
        <f>IF($A5="","",IF(COUNTIFS(Docs!$A$2:$A$201,$A5,Docs!$C$2:$C$201,"Y",Docs!$D$2:$D$201,"N")&gt;0,"MISSING","OK"))</f>
        <v/>
      </c>
      <c r="R5" s="7">
        <f>IF(AND($A5&lt;&gt;"",ISNUMBER($H5)),$H5-TODAY(),"")</f>
        <v/>
      </c>
      <c r="S5" s="6">
        <f>IF($A5="","",IF(OR($I5="Awarded",$I5="Declined",$I5="Withdrawn"),"CLOSED",IF(NOT(ISNUMBER($H5)),"NO DEADLINE SET",IF($H5&lt;TODAY(),"OVERDUE "&amp;TODAY()-$H5&amp;" DAYS",IF($H5-TODAY()&lt;=14,"DUE IN "&amp;$H5-TODAY()&amp;" DAYS","OPEN")))))</f>
        <v/>
      </c>
      <c r="T5" s="6">
        <f>IF($A5="","",IF(COUNTIFS($B$2:$B$41,$B5,$C$2:$C$41,$C5)&gt;1,"DUPLICATE OF ANOTHER ROW",""))</f>
        <v/>
      </c>
      <c r="U5" s="6">
        <f>IF($A5="","",IF($B5="","No funder name. ","")&amp;IF(AND(ISNUMBER($F5),ISNUMBER($G5),$G5&lt;$F5),"Award max is below award min. ","")&amp;IF(AND($I5="Submitted",NOT(ISNUMBER($M5))),"Status is Submitted but there is no submitted date. ","")&amp;IF(AND($I5="Awarded",NOT(ISNUMBER($O5))),"Status is Awarded but there is no awarded amount. ","")&amp;IF(AND($I5&lt;&gt;"Research",$I5&lt;&gt;"",NOT(ISNUMBER($H5))),"There is no deadline date. ","")&amp;IF(AND(ISNUMBER($O5),ISNUMBER($G5),$O5&gt;$G5),"Awarded amount is above the award max you recorded. ",""))</f>
        <v/>
      </c>
      <c r="V5" s="8">
        <f>IF(AND($A5&lt;&gt;"",ISNUMBER($H5),$I5&lt;&gt;"Awarded",$I5&lt;&gt;"Declined",$I5&lt;&gt;"Withdrawn"),$H5,"")</f>
        <v/>
      </c>
    </row>
    <row r="6">
      <c r="A6" s="9" t="inlineStr"/>
      <c r="B6" s="9" t="inlineStr"/>
      <c r="C6" s="9" t="inlineStr"/>
      <c r="D6" s="9" t="inlineStr"/>
      <c r="E6" s="9" t="inlineStr"/>
      <c r="F6" s="10" t="n"/>
      <c r="G6" s="10" t="n"/>
      <c r="H6" s="11" t="n"/>
      <c r="I6" s="9" t="inlineStr"/>
      <c r="J6" s="9" t="inlineStr"/>
      <c r="K6" s="9" t="inlineStr"/>
      <c r="L6" s="9" t="inlineStr"/>
      <c r="M6" s="11" t="n"/>
      <c r="N6" s="11" t="n"/>
      <c r="O6" s="10" t="n"/>
      <c r="P6" s="6">
        <f>IF($A6="","",COUNTIFS(Docs!$A$2:$A$201,$A6,Docs!$C$2:$C$201,"Y",Docs!$D$2:$D$201,"Y")&amp;"/"&amp;COUNTIFS(Docs!$A$2:$A$201,$A6,Docs!$C$2:$C$201,"Y"))</f>
        <v/>
      </c>
      <c r="Q6" s="6">
        <f>IF($A6="","",IF(COUNTIFS(Docs!$A$2:$A$201,$A6,Docs!$C$2:$C$201,"Y",Docs!$D$2:$D$201,"N")&gt;0,"MISSING","OK"))</f>
        <v/>
      </c>
      <c r="R6" s="7">
        <f>IF(AND($A6&lt;&gt;"",ISNUMBER($H6)),$H6-TODAY(),"")</f>
        <v/>
      </c>
      <c r="S6" s="6">
        <f>IF($A6="","",IF(OR($I6="Awarded",$I6="Declined",$I6="Withdrawn"),"CLOSED",IF(NOT(ISNUMBER($H6)),"NO DEADLINE SET",IF($H6&lt;TODAY(),"OVERDUE "&amp;TODAY()-$H6&amp;" DAYS",IF($H6-TODAY()&lt;=14,"DUE IN "&amp;$H6-TODAY()&amp;" DAYS","OPEN")))))</f>
        <v/>
      </c>
      <c r="T6" s="6">
        <f>IF($A6="","",IF(COUNTIFS($B$2:$B$41,$B6,$C$2:$C$41,$C6)&gt;1,"DUPLICATE OF ANOTHER ROW",""))</f>
        <v/>
      </c>
      <c r="U6" s="6">
        <f>IF($A6="","",IF($B6="","No funder name. ","")&amp;IF(AND(ISNUMBER($F6),ISNUMBER($G6),$G6&lt;$F6),"Award max is below award min. ","")&amp;IF(AND($I6="Submitted",NOT(ISNUMBER($M6))),"Status is Submitted but there is no submitted date. ","")&amp;IF(AND($I6="Awarded",NOT(ISNUMBER($O6))),"Status is Awarded but there is no awarded amount. ","")&amp;IF(AND($I6&lt;&gt;"Research",$I6&lt;&gt;"",NOT(ISNUMBER($H6))),"There is no deadline date. ","")&amp;IF(AND(ISNUMBER($O6),ISNUMBER($G6),$O6&gt;$G6),"Awarded amount is above the award max you recorded. ",""))</f>
        <v/>
      </c>
      <c r="V6" s="8">
        <f>IF(AND($A6&lt;&gt;"",ISNUMBER($H6),$I6&lt;&gt;"Awarded",$I6&lt;&gt;"Declined",$I6&lt;&gt;"Withdrawn"),$H6,"")</f>
        <v/>
      </c>
    </row>
    <row r="7">
      <c r="A7" s="9" t="inlineStr"/>
      <c r="B7" s="9" t="inlineStr"/>
      <c r="C7" s="9" t="inlineStr"/>
      <c r="D7" s="9" t="inlineStr"/>
      <c r="E7" s="9" t="inlineStr"/>
      <c r="F7" s="10" t="n"/>
      <c r="G7" s="10" t="n"/>
      <c r="H7" s="11" t="n"/>
      <c r="I7" s="9" t="inlineStr"/>
      <c r="J7" s="9" t="inlineStr"/>
      <c r="K7" s="9" t="inlineStr"/>
      <c r="L7" s="9" t="inlineStr"/>
      <c r="M7" s="11" t="n"/>
      <c r="N7" s="11" t="n"/>
      <c r="O7" s="10" t="n"/>
      <c r="P7" s="6">
        <f>IF($A7="","",COUNTIFS(Docs!$A$2:$A$201,$A7,Docs!$C$2:$C$201,"Y",Docs!$D$2:$D$201,"Y")&amp;"/"&amp;COUNTIFS(Docs!$A$2:$A$201,$A7,Docs!$C$2:$C$201,"Y"))</f>
        <v/>
      </c>
      <c r="Q7" s="6">
        <f>IF($A7="","",IF(COUNTIFS(Docs!$A$2:$A$201,$A7,Docs!$C$2:$C$201,"Y",Docs!$D$2:$D$201,"N")&gt;0,"MISSING","OK"))</f>
        <v/>
      </c>
      <c r="R7" s="7">
        <f>IF(AND($A7&lt;&gt;"",ISNUMBER($H7)),$H7-TODAY(),"")</f>
        <v/>
      </c>
      <c r="S7" s="6">
        <f>IF($A7="","",IF(OR($I7="Awarded",$I7="Declined",$I7="Withdrawn"),"CLOSED",IF(NOT(ISNUMBER($H7)),"NO DEADLINE SET",IF($H7&lt;TODAY(),"OVERDUE "&amp;TODAY()-$H7&amp;" DAYS",IF($H7-TODAY()&lt;=14,"DUE IN "&amp;$H7-TODAY()&amp;" DAYS","OPEN")))))</f>
        <v/>
      </c>
      <c r="T7" s="6">
        <f>IF($A7="","",IF(COUNTIFS($B$2:$B$41,$B7,$C$2:$C$41,$C7)&gt;1,"DUPLICATE OF ANOTHER ROW",""))</f>
        <v/>
      </c>
      <c r="U7" s="6">
        <f>IF($A7="","",IF($B7="","No funder name. ","")&amp;IF(AND(ISNUMBER($F7),ISNUMBER($G7),$G7&lt;$F7),"Award max is below award min. ","")&amp;IF(AND($I7="Submitted",NOT(ISNUMBER($M7))),"Status is Submitted but there is no submitted date. ","")&amp;IF(AND($I7="Awarded",NOT(ISNUMBER($O7))),"Status is Awarded but there is no awarded amount. ","")&amp;IF(AND($I7&lt;&gt;"Research",$I7&lt;&gt;"",NOT(ISNUMBER($H7))),"There is no deadline date. ","")&amp;IF(AND(ISNUMBER($O7),ISNUMBER($G7),$O7&gt;$G7),"Awarded amount is above the award max you recorded. ",""))</f>
        <v/>
      </c>
      <c r="V7" s="8">
        <f>IF(AND($A7&lt;&gt;"",ISNUMBER($H7),$I7&lt;&gt;"Awarded",$I7&lt;&gt;"Declined",$I7&lt;&gt;"Withdrawn"),$H7,"")</f>
        <v/>
      </c>
    </row>
    <row r="8">
      <c r="A8" s="9" t="inlineStr"/>
      <c r="B8" s="9" t="inlineStr"/>
      <c r="C8" s="9" t="inlineStr"/>
      <c r="D8" s="9" t="inlineStr"/>
      <c r="E8" s="9" t="inlineStr"/>
      <c r="F8" s="10" t="n"/>
      <c r="G8" s="10" t="n"/>
      <c r="H8" s="11" t="n"/>
      <c r="I8" s="9" t="inlineStr"/>
      <c r="J8" s="9" t="inlineStr"/>
      <c r="K8" s="9" t="inlineStr"/>
      <c r="L8" s="9" t="inlineStr"/>
      <c r="M8" s="11" t="n"/>
      <c r="N8" s="11" t="n"/>
      <c r="O8" s="10" t="n"/>
      <c r="P8" s="6">
        <f>IF($A8="","",COUNTIFS(Docs!$A$2:$A$201,$A8,Docs!$C$2:$C$201,"Y",Docs!$D$2:$D$201,"Y")&amp;"/"&amp;COUNTIFS(Docs!$A$2:$A$201,$A8,Docs!$C$2:$C$201,"Y"))</f>
        <v/>
      </c>
      <c r="Q8" s="6">
        <f>IF($A8="","",IF(COUNTIFS(Docs!$A$2:$A$201,$A8,Docs!$C$2:$C$201,"Y",Docs!$D$2:$D$201,"N")&gt;0,"MISSING","OK"))</f>
        <v/>
      </c>
      <c r="R8" s="7">
        <f>IF(AND($A8&lt;&gt;"",ISNUMBER($H8)),$H8-TODAY(),"")</f>
        <v/>
      </c>
      <c r="S8" s="6">
        <f>IF($A8="","",IF(OR($I8="Awarded",$I8="Declined",$I8="Withdrawn"),"CLOSED",IF(NOT(ISNUMBER($H8)),"NO DEADLINE SET",IF($H8&lt;TODAY(),"OVERDUE "&amp;TODAY()-$H8&amp;" DAYS",IF($H8-TODAY()&lt;=14,"DUE IN "&amp;$H8-TODAY()&amp;" DAYS","OPEN")))))</f>
        <v/>
      </c>
      <c r="T8" s="6">
        <f>IF($A8="","",IF(COUNTIFS($B$2:$B$41,$B8,$C$2:$C$41,$C8)&gt;1,"DUPLICATE OF ANOTHER ROW",""))</f>
        <v/>
      </c>
      <c r="U8" s="6">
        <f>IF($A8="","",IF($B8="","No funder name. ","")&amp;IF(AND(ISNUMBER($F8),ISNUMBER($G8),$G8&lt;$F8),"Award max is below award min. ","")&amp;IF(AND($I8="Submitted",NOT(ISNUMBER($M8))),"Status is Submitted but there is no submitted date. ","")&amp;IF(AND($I8="Awarded",NOT(ISNUMBER($O8))),"Status is Awarded but there is no awarded amount. ","")&amp;IF(AND($I8&lt;&gt;"Research",$I8&lt;&gt;"",NOT(ISNUMBER($H8))),"There is no deadline date. ","")&amp;IF(AND(ISNUMBER($O8),ISNUMBER($G8),$O8&gt;$G8),"Awarded amount is above the award max you recorded. ",""))</f>
        <v/>
      </c>
      <c r="V8" s="8">
        <f>IF(AND($A8&lt;&gt;"",ISNUMBER($H8),$I8&lt;&gt;"Awarded",$I8&lt;&gt;"Declined",$I8&lt;&gt;"Withdrawn"),$H8,"")</f>
        <v/>
      </c>
    </row>
    <row r="9">
      <c r="A9" s="9" t="inlineStr"/>
      <c r="B9" s="9" t="inlineStr"/>
      <c r="C9" s="9" t="inlineStr"/>
      <c r="D9" s="9" t="inlineStr"/>
      <c r="E9" s="9" t="inlineStr"/>
      <c r="F9" s="10" t="n"/>
      <c r="G9" s="10" t="n"/>
      <c r="H9" s="11" t="n"/>
      <c r="I9" s="9" t="inlineStr"/>
      <c r="J9" s="9" t="inlineStr"/>
      <c r="K9" s="9" t="inlineStr"/>
      <c r="L9" s="9" t="inlineStr"/>
      <c r="M9" s="11" t="n"/>
      <c r="N9" s="11" t="n"/>
      <c r="O9" s="10" t="n"/>
      <c r="P9" s="6">
        <f>IF($A9="","",COUNTIFS(Docs!$A$2:$A$201,$A9,Docs!$C$2:$C$201,"Y",Docs!$D$2:$D$201,"Y")&amp;"/"&amp;COUNTIFS(Docs!$A$2:$A$201,$A9,Docs!$C$2:$C$201,"Y"))</f>
        <v/>
      </c>
      <c r="Q9" s="6">
        <f>IF($A9="","",IF(COUNTIFS(Docs!$A$2:$A$201,$A9,Docs!$C$2:$C$201,"Y",Docs!$D$2:$D$201,"N")&gt;0,"MISSING","OK"))</f>
        <v/>
      </c>
      <c r="R9" s="7">
        <f>IF(AND($A9&lt;&gt;"",ISNUMBER($H9)),$H9-TODAY(),"")</f>
        <v/>
      </c>
      <c r="S9" s="6">
        <f>IF($A9="","",IF(OR($I9="Awarded",$I9="Declined",$I9="Withdrawn"),"CLOSED",IF(NOT(ISNUMBER($H9)),"NO DEADLINE SET",IF($H9&lt;TODAY(),"OVERDUE "&amp;TODAY()-$H9&amp;" DAYS",IF($H9-TODAY()&lt;=14,"DUE IN "&amp;$H9-TODAY()&amp;" DAYS","OPEN")))))</f>
        <v/>
      </c>
      <c r="T9" s="6">
        <f>IF($A9="","",IF(COUNTIFS($B$2:$B$41,$B9,$C$2:$C$41,$C9)&gt;1,"DUPLICATE OF ANOTHER ROW",""))</f>
        <v/>
      </c>
      <c r="U9" s="6">
        <f>IF($A9="","",IF($B9="","No funder name. ","")&amp;IF(AND(ISNUMBER($F9),ISNUMBER($G9),$G9&lt;$F9),"Award max is below award min. ","")&amp;IF(AND($I9="Submitted",NOT(ISNUMBER($M9))),"Status is Submitted but there is no submitted date. ","")&amp;IF(AND($I9="Awarded",NOT(ISNUMBER($O9))),"Status is Awarded but there is no awarded amount. ","")&amp;IF(AND($I9&lt;&gt;"Research",$I9&lt;&gt;"",NOT(ISNUMBER($H9))),"There is no deadline date. ","")&amp;IF(AND(ISNUMBER($O9),ISNUMBER($G9),$O9&gt;$G9),"Awarded amount is above the award max you recorded. ",""))</f>
        <v/>
      </c>
      <c r="V9" s="8">
        <f>IF(AND($A9&lt;&gt;"",ISNUMBER($H9),$I9&lt;&gt;"Awarded",$I9&lt;&gt;"Declined",$I9&lt;&gt;"Withdrawn"),$H9,"")</f>
        <v/>
      </c>
    </row>
    <row r="10">
      <c r="A10" s="9" t="inlineStr"/>
      <c r="B10" s="9" t="inlineStr"/>
      <c r="C10" s="9" t="inlineStr"/>
      <c r="D10" s="9" t="inlineStr"/>
      <c r="E10" s="9" t="inlineStr"/>
      <c r="F10" s="10" t="n"/>
      <c r="G10" s="10" t="n"/>
      <c r="H10" s="11" t="n"/>
      <c r="I10" s="9" t="inlineStr"/>
      <c r="J10" s="9" t="inlineStr"/>
      <c r="K10" s="9" t="inlineStr"/>
      <c r="L10" s="9" t="inlineStr"/>
      <c r="M10" s="11" t="n"/>
      <c r="N10" s="11" t="n"/>
      <c r="O10" s="10" t="n"/>
      <c r="P10" s="6">
        <f>IF($A10="","",COUNTIFS(Docs!$A$2:$A$201,$A10,Docs!$C$2:$C$201,"Y",Docs!$D$2:$D$201,"Y")&amp;"/"&amp;COUNTIFS(Docs!$A$2:$A$201,$A10,Docs!$C$2:$C$201,"Y"))</f>
        <v/>
      </c>
      <c r="Q10" s="6">
        <f>IF($A10="","",IF(COUNTIFS(Docs!$A$2:$A$201,$A10,Docs!$C$2:$C$201,"Y",Docs!$D$2:$D$201,"N")&gt;0,"MISSING","OK"))</f>
        <v/>
      </c>
      <c r="R10" s="7">
        <f>IF(AND($A10&lt;&gt;"",ISNUMBER($H10)),$H10-TODAY(),"")</f>
        <v/>
      </c>
      <c r="S10" s="6">
        <f>IF($A10="","",IF(OR($I10="Awarded",$I10="Declined",$I10="Withdrawn"),"CLOSED",IF(NOT(ISNUMBER($H10)),"NO DEADLINE SET",IF($H10&lt;TODAY(),"OVERDUE "&amp;TODAY()-$H10&amp;" DAYS",IF($H10-TODAY()&lt;=14,"DUE IN "&amp;$H10-TODAY()&amp;" DAYS","OPEN")))))</f>
        <v/>
      </c>
      <c r="T10" s="6">
        <f>IF($A10="","",IF(COUNTIFS($B$2:$B$41,$B10,$C$2:$C$41,$C10)&gt;1,"DUPLICATE OF ANOTHER ROW",""))</f>
        <v/>
      </c>
      <c r="U10" s="6">
        <f>IF($A10="","",IF($B10="","No funder name. ","")&amp;IF(AND(ISNUMBER($F10),ISNUMBER($G10),$G10&lt;$F10),"Award max is below award min. ","")&amp;IF(AND($I10="Submitted",NOT(ISNUMBER($M10))),"Status is Submitted but there is no submitted date. ","")&amp;IF(AND($I10="Awarded",NOT(ISNUMBER($O10))),"Status is Awarded but there is no awarded amount. ","")&amp;IF(AND($I10&lt;&gt;"Research",$I10&lt;&gt;"",NOT(ISNUMBER($H10))),"There is no deadline date. ","")&amp;IF(AND(ISNUMBER($O10),ISNUMBER($G10),$O10&gt;$G10),"Awarded amount is above the award max you recorded. ",""))</f>
        <v/>
      </c>
      <c r="V10" s="8">
        <f>IF(AND($A10&lt;&gt;"",ISNUMBER($H10),$I10&lt;&gt;"Awarded",$I10&lt;&gt;"Declined",$I10&lt;&gt;"Withdrawn"),$H10,"")</f>
        <v/>
      </c>
    </row>
    <row r="11">
      <c r="A11" s="9" t="inlineStr"/>
      <c r="B11" s="9" t="inlineStr"/>
      <c r="C11" s="9" t="inlineStr"/>
      <c r="D11" s="9" t="inlineStr"/>
      <c r="E11" s="9" t="inlineStr"/>
      <c r="F11" s="10" t="n"/>
      <c r="G11" s="10" t="n"/>
      <c r="H11" s="11" t="n"/>
      <c r="I11" s="9" t="inlineStr"/>
      <c r="J11" s="9" t="inlineStr"/>
      <c r="K11" s="9" t="inlineStr"/>
      <c r="L11" s="9" t="inlineStr"/>
      <c r="M11" s="11" t="n"/>
      <c r="N11" s="11" t="n"/>
      <c r="O11" s="10" t="n"/>
      <c r="P11" s="6">
        <f>IF($A11="","",COUNTIFS(Docs!$A$2:$A$201,$A11,Docs!$C$2:$C$201,"Y",Docs!$D$2:$D$201,"Y")&amp;"/"&amp;COUNTIFS(Docs!$A$2:$A$201,$A11,Docs!$C$2:$C$201,"Y"))</f>
        <v/>
      </c>
      <c r="Q11" s="6">
        <f>IF($A11="","",IF(COUNTIFS(Docs!$A$2:$A$201,$A11,Docs!$C$2:$C$201,"Y",Docs!$D$2:$D$201,"N")&gt;0,"MISSING","OK"))</f>
        <v/>
      </c>
      <c r="R11" s="7">
        <f>IF(AND($A11&lt;&gt;"",ISNUMBER($H11)),$H11-TODAY(),"")</f>
        <v/>
      </c>
      <c r="S11" s="6">
        <f>IF($A11="","",IF(OR($I11="Awarded",$I11="Declined",$I11="Withdrawn"),"CLOSED",IF(NOT(ISNUMBER($H11)),"NO DEADLINE SET",IF($H11&lt;TODAY(),"OVERDUE "&amp;TODAY()-$H11&amp;" DAYS",IF($H11-TODAY()&lt;=14,"DUE IN "&amp;$H11-TODAY()&amp;" DAYS","OPEN")))))</f>
        <v/>
      </c>
      <c r="T11" s="6">
        <f>IF($A11="","",IF(COUNTIFS($B$2:$B$41,$B11,$C$2:$C$41,$C11)&gt;1,"DUPLICATE OF ANOTHER ROW",""))</f>
        <v/>
      </c>
      <c r="U11" s="6">
        <f>IF($A11="","",IF($B11="","No funder name. ","")&amp;IF(AND(ISNUMBER($F11),ISNUMBER($G11),$G11&lt;$F11),"Award max is below award min. ","")&amp;IF(AND($I11="Submitted",NOT(ISNUMBER($M11))),"Status is Submitted but there is no submitted date. ","")&amp;IF(AND($I11="Awarded",NOT(ISNUMBER($O11))),"Status is Awarded but there is no awarded amount. ","")&amp;IF(AND($I11&lt;&gt;"Research",$I11&lt;&gt;"",NOT(ISNUMBER($H11))),"There is no deadline date. ","")&amp;IF(AND(ISNUMBER($O11),ISNUMBER($G11),$O11&gt;$G11),"Awarded amount is above the award max you recorded. ",""))</f>
        <v/>
      </c>
      <c r="V11" s="8">
        <f>IF(AND($A11&lt;&gt;"",ISNUMBER($H11),$I11&lt;&gt;"Awarded",$I11&lt;&gt;"Declined",$I11&lt;&gt;"Withdrawn"),$H11,"")</f>
        <v/>
      </c>
    </row>
    <row r="12">
      <c r="A12" s="9" t="inlineStr"/>
      <c r="B12" s="9" t="inlineStr"/>
      <c r="C12" s="9" t="inlineStr"/>
      <c r="D12" s="9" t="inlineStr"/>
      <c r="E12" s="9" t="inlineStr"/>
      <c r="F12" s="10" t="n"/>
      <c r="G12" s="10" t="n"/>
      <c r="H12" s="11" t="n"/>
      <c r="I12" s="9" t="inlineStr"/>
      <c r="J12" s="9" t="inlineStr"/>
      <c r="K12" s="9" t="inlineStr"/>
      <c r="L12" s="9" t="inlineStr"/>
      <c r="M12" s="11" t="n"/>
      <c r="N12" s="11" t="n"/>
      <c r="O12" s="10" t="n"/>
      <c r="P12" s="6">
        <f>IF($A12="","",COUNTIFS(Docs!$A$2:$A$201,$A12,Docs!$C$2:$C$201,"Y",Docs!$D$2:$D$201,"Y")&amp;"/"&amp;COUNTIFS(Docs!$A$2:$A$201,$A12,Docs!$C$2:$C$201,"Y"))</f>
        <v/>
      </c>
      <c r="Q12" s="6">
        <f>IF($A12="","",IF(COUNTIFS(Docs!$A$2:$A$201,$A12,Docs!$C$2:$C$201,"Y",Docs!$D$2:$D$201,"N")&gt;0,"MISSING","OK"))</f>
        <v/>
      </c>
      <c r="R12" s="7">
        <f>IF(AND($A12&lt;&gt;"",ISNUMBER($H12)),$H12-TODAY(),"")</f>
        <v/>
      </c>
      <c r="S12" s="6">
        <f>IF($A12="","",IF(OR($I12="Awarded",$I12="Declined",$I12="Withdrawn"),"CLOSED",IF(NOT(ISNUMBER($H12)),"NO DEADLINE SET",IF($H12&lt;TODAY(),"OVERDUE "&amp;TODAY()-$H12&amp;" DAYS",IF($H12-TODAY()&lt;=14,"DUE IN "&amp;$H12-TODAY()&amp;" DAYS","OPEN")))))</f>
        <v/>
      </c>
      <c r="T12" s="6">
        <f>IF($A12="","",IF(COUNTIFS($B$2:$B$41,$B12,$C$2:$C$41,$C12)&gt;1,"DUPLICATE OF ANOTHER ROW",""))</f>
        <v/>
      </c>
      <c r="U12" s="6">
        <f>IF($A12="","",IF($B12="","No funder name. ","")&amp;IF(AND(ISNUMBER($F12),ISNUMBER($G12),$G12&lt;$F12),"Award max is below award min. ","")&amp;IF(AND($I12="Submitted",NOT(ISNUMBER($M12))),"Status is Submitted but there is no submitted date. ","")&amp;IF(AND($I12="Awarded",NOT(ISNUMBER($O12))),"Status is Awarded but there is no awarded amount. ","")&amp;IF(AND($I12&lt;&gt;"Research",$I12&lt;&gt;"",NOT(ISNUMBER($H12))),"There is no deadline date. ","")&amp;IF(AND(ISNUMBER($O12),ISNUMBER($G12),$O12&gt;$G12),"Awarded amount is above the award max you recorded. ",""))</f>
        <v/>
      </c>
      <c r="V12" s="8">
        <f>IF(AND($A12&lt;&gt;"",ISNUMBER($H12),$I12&lt;&gt;"Awarded",$I12&lt;&gt;"Declined",$I12&lt;&gt;"Withdrawn"),$H12,"")</f>
        <v/>
      </c>
    </row>
    <row r="13">
      <c r="A13" s="9" t="inlineStr"/>
      <c r="B13" s="9" t="inlineStr"/>
      <c r="C13" s="9" t="inlineStr"/>
      <c r="D13" s="9" t="inlineStr"/>
      <c r="E13" s="9" t="inlineStr"/>
      <c r="F13" s="10" t="n"/>
      <c r="G13" s="10" t="n"/>
      <c r="H13" s="11" t="n"/>
      <c r="I13" s="9" t="inlineStr"/>
      <c r="J13" s="9" t="inlineStr"/>
      <c r="K13" s="9" t="inlineStr"/>
      <c r="L13" s="9" t="inlineStr"/>
      <c r="M13" s="11" t="n"/>
      <c r="N13" s="11" t="n"/>
      <c r="O13" s="10" t="n"/>
      <c r="P13" s="6">
        <f>IF($A13="","",COUNTIFS(Docs!$A$2:$A$201,$A13,Docs!$C$2:$C$201,"Y",Docs!$D$2:$D$201,"Y")&amp;"/"&amp;COUNTIFS(Docs!$A$2:$A$201,$A13,Docs!$C$2:$C$201,"Y"))</f>
        <v/>
      </c>
      <c r="Q13" s="6">
        <f>IF($A13="","",IF(COUNTIFS(Docs!$A$2:$A$201,$A13,Docs!$C$2:$C$201,"Y",Docs!$D$2:$D$201,"N")&gt;0,"MISSING","OK"))</f>
        <v/>
      </c>
      <c r="R13" s="7">
        <f>IF(AND($A13&lt;&gt;"",ISNUMBER($H13)),$H13-TODAY(),"")</f>
        <v/>
      </c>
      <c r="S13" s="6">
        <f>IF($A13="","",IF(OR($I13="Awarded",$I13="Declined",$I13="Withdrawn"),"CLOSED",IF(NOT(ISNUMBER($H13)),"NO DEADLINE SET",IF($H13&lt;TODAY(),"OVERDUE "&amp;TODAY()-$H13&amp;" DAYS",IF($H13-TODAY()&lt;=14,"DUE IN "&amp;$H13-TODAY()&amp;" DAYS","OPEN")))))</f>
        <v/>
      </c>
      <c r="T13" s="6">
        <f>IF($A13="","",IF(COUNTIFS($B$2:$B$41,$B13,$C$2:$C$41,$C13)&gt;1,"DUPLICATE OF ANOTHER ROW",""))</f>
        <v/>
      </c>
      <c r="U13" s="6">
        <f>IF($A13="","",IF($B13="","No funder name. ","")&amp;IF(AND(ISNUMBER($F13),ISNUMBER($G13),$G13&lt;$F13),"Award max is below award min. ","")&amp;IF(AND($I13="Submitted",NOT(ISNUMBER($M13))),"Status is Submitted but there is no submitted date. ","")&amp;IF(AND($I13="Awarded",NOT(ISNUMBER($O13))),"Status is Awarded but there is no awarded amount. ","")&amp;IF(AND($I13&lt;&gt;"Research",$I13&lt;&gt;"",NOT(ISNUMBER($H13))),"There is no deadline date. ","")&amp;IF(AND(ISNUMBER($O13),ISNUMBER($G13),$O13&gt;$G13),"Awarded amount is above the award max you recorded. ",""))</f>
        <v/>
      </c>
      <c r="V13" s="8">
        <f>IF(AND($A13&lt;&gt;"",ISNUMBER($H13),$I13&lt;&gt;"Awarded",$I13&lt;&gt;"Declined",$I13&lt;&gt;"Withdrawn"),$H13,"")</f>
        <v/>
      </c>
    </row>
    <row r="14">
      <c r="A14" s="9" t="inlineStr"/>
      <c r="B14" s="9" t="inlineStr"/>
      <c r="C14" s="9" t="inlineStr"/>
      <c r="D14" s="9" t="inlineStr"/>
      <c r="E14" s="9" t="inlineStr"/>
      <c r="F14" s="10" t="n"/>
      <c r="G14" s="10" t="n"/>
      <c r="H14" s="11" t="n"/>
      <c r="I14" s="9" t="inlineStr"/>
      <c r="J14" s="9" t="inlineStr"/>
      <c r="K14" s="9" t="inlineStr"/>
      <c r="L14" s="9" t="inlineStr"/>
      <c r="M14" s="11" t="n"/>
      <c r="N14" s="11" t="n"/>
      <c r="O14" s="10" t="n"/>
      <c r="P14" s="6">
        <f>IF($A14="","",COUNTIFS(Docs!$A$2:$A$201,$A14,Docs!$C$2:$C$201,"Y",Docs!$D$2:$D$201,"Y")&amp;"/"&amp;COUNTIFS(Docs!$A$2:$A$201,$A14,Docs!$C$2:$C$201,"Y"))</f>
        <v/>
      </c>
      <c r="Q14" s="6">
        <f>IF($A14="","",IF(COUNTIFS(Docs!$A$2:$A$201,$A14,Docs!$C$2:$C$201,"Y",Docs!$D$2:$D$201,"N")&gt;0,"MISSING","OK"))</f>
        <v/>
      </c>
      <c r="R14" s="7">
        <f>IF(AND($A14&lt;&gt;"",ISNUMBER($H14)),$H14-TODAY(),"")</f>
        <v/>
      </c>
      <c r="S14" s="6">
        <f>IF($A14="","",IF(OR($I14="Awarded",$I14="Declined",$I14="Withdrawn"),"CLOSED",IF(NOT(ISNUMBER($H14)),"NO DEADLINE SET",IF($H14&lt;TODAY(),"OVERDUE "&amp;TODAY()-$H14&amp;" DAYS",IF($H14-TODAY()&lt;=14,"DUE IN "&amp;$H14-TODAY()&amp;" DAYS","OPEN")))))</f>
        <v/>
      </c>
      <c r="T14" s="6">
        <f>IF($A14="","",IF(COUNTIFS($B$2:$B$41,$B14,$C$2:$C$41,$C14)&gt;1,"DUPLICATE OF ANOTHER ROW",""))</f>
        <v/>
      </c>
      <c r="U14" s="6">
        <f>IF($A14="","",IF($B14="","No funder name. ","")&amp;IF(AND(ISNUMBER($F14),ISNUMBER($G14),$G14&lt;$F14),"Award max is below award min. ","")&amp;IF(AND($I14="Submitted",NOT(ISNUMBER($M14))),"Status is Submitted but there is no submitted date. ","")&amp;IF(AND($I14="Awarded",NOT(ISNUMBER($O14))),"Status is Awarded but there is no awarded amount. ","")&amp;IF(AND($I14&lt;&gt;"Research",$I14&lt;&gt;"",NOT(ISNUMBER($H14))),"There is no deadline date. ","")&amp;IF(AND(ISNUMBER($O14),ISNUMBER($G14),$O14&gt;$G14),"Awarded amount is above the award max you recorded. ",""))</f>
        <v/>
      </c>
      <c r="V14" s="8">
        <f>IF(AND($A14&lt;&gt;"",ISNUMBER($H14),$I14&lt;&gt;"Awarded",$I14&lt;&gt;"Declined",$I14&lt;&gt;"Withdrawn"),$H14,"")</f>
        <v/>
      </c>
    </row>
    <row r="15">
      <c r="A15" s="9" t="inlineStr"/>
      <c r="B15" s="9" t="inlineStr"/>
      <c r="C15" s="9" t="inlineStr"/>
      <c r="D15" s="9" t="inlineStr"/>
      <c r="E15" s="9" t="inlineStr"/>
      <c r="F15" s="10" t="n"/>
      <c r="G15" s="10" t="n"/>
      <c r="H15" s="11" t="n"/>
      <c r="I15" s="9" t="inlineStr"/>
      <c r="J15" s="9" t="inlineStr"/>
      <c r="K15" s="9" t="inlineStr"/>
      <c r="L15" s="9" t="inlineStr"/>
      <c r="M15" s="11" t="n"/>
      <c r="N15" s="11" t="n"/>
      <c r="O15" s="10" t="n"/>
      <c r="P15" s="6">
        <f>IF($A15="","",COUNTIFS(Docs!$A$2:$A$201,$A15,Docs!$C$2:$C$201,"Y",Docs!$D$2:$D$201,"Y")&amp;"/"&amp;COUNTIFS(Docs!$A$2:$A$201,$A15,Docs!$C$2:$C$201,"Y"))</f>
        <v/>
      </c>
      <c r="Q15" s="6">
        <f>IF($A15="","",IF(COUNTIFS(Docs!$A$2:$A$201,$A15,Docs!$C$2:$C$201,"Y",Docs!$D$2:$D$201,"N")&gt;0,"MISSING","OK"))</f>
        <v/>
      </c>
      <c r="R15" s="7">
        <f>IF(AND($A15&lt;&gt;"",ISNUMBER($H15)),$H15-TODAY(),"")</f>
        <v/>
      </c>
      <c r="S15" s="6">
        <f>IF($A15="","",IF(OR($I15="Awarded",$I15="Declined",$I15="Withdrawn"),"CLOSED",IF(NOT(ISNUMBER($H15)),"NO DEADLINE SET",IF($H15&lt;TODAY(),"OVERDUE "&amp;TODAY()-$H15&amp;" DAYS",IF($H15-TODAY()&lt;=14,"DUE IN "&amp;$H15-TODAY()&amp;" DAYS","OPEN")))))</f>
        <v/>
      </c>
      <c r="T15" s="6">
        <f>IF($A15="","",IF(COUNTIFS($B$2:$B$41,$B15,$C$2:$C$41,$C15)&gt;1,"DUPLICATE OF ANOTHER ROW",""))</f>
        <v/>
      </c>
      <c r="U15" s="6">
        <f>IF($A15="","",IF($B15="","No funder name. ","")&amp;IF(AND(ISNUMBER($F15),ISNUMBER($G15),$G15&lt;$F15),"Award max is below award min. ","")&amp;IF(AND($I15="Submitted",NOT(ISNUMBER($M15))),"Status is Submitted but there is no submitted date. ","")&amp;IF(AND($I15="Awarded",NOT(ISNUMBER($O15))),"Status is Awarded but there is no awarded amount. ","")&amp;IF(AND($I15&lt;&gt;"Research",$I15&lt;&gt;"",NOT(ISNUMBER($H15))),"There is no deadline date. ","")&amp;IF(AND(ISNUMBER($O15),ISNUMBER($G15),$O15&gt;$G15),"Awarded amount is above the award max you recorded. ",""))</f>
        <v/>
      </c>
      <c r="V15" s="8">
        <f>IF(AND($A15&lt;&gt;"",ISNUMBER($H15),$I15&lt;&gt;"Awarded",$I15&lt;&gt;"Declined",$I15&lt;&gt;"Withdrawn"),$H15,"")</f>
        <v/>
      </c>
    </row>
    <row r="16">
      <c r="A16" s="9" t="inlineStr"/>
      <c r="B16" s="9" t="inlineStr"/>
      <c r="C16" s="9" t="inlineStr"/>
      <c r="D16" s="9" t="inlineStr"/>
      <c r="E16" s="9" t="inlineStr"/>
      <c r="F16" s="10" t="n"/>
      <c r="G16" s="10" t="n"/>
      <c r="H16" s="11" t="n"/>
      <c r="I16" s="9" t="inlineStr"/>
      <c r="J16" s="9" t="inlineStr"/>
      <c r="K16" s="9" t="inlineStr"/>
      <c r="L16" s="9" t="inlineStr"/>
      <c r="M16" s="11" t="n"/>
      <c r="N16" s="11" t="n"/>
      <c r="O16" s="10" t="n"/>
      <c r="P16" s="6">
        <f>IF($A16="","",COUNTIFS(Docs!$A$2:$A$201,$A16,Docs!$C$2:$C$201,"Y",Docs!$D$2:$D$201,"Y")&amp;"/"&amp;COUNTIFS(Docs!$A$2:$A$201,$A16,Docs!$C$2:$C$201,"Y"))</f>
        <v/>
      </c>
      <c r="Q16" s="6">
        <f>IF($A16="","",IF(COUNTIFS(Docs!$A$2:$A$201,$A16,Docs!$C$2:$C$201,"Y",Docs!$D$2:$D$201,"N")&gt;0,"MISSING","OK"))</f>
        <v/>
      </c>
      <c r="R16" s="7">
        <f>IF(AND($A16&lt;&gt;"",ISNUMBER($H16)),$H16-TODAY(),"")</f>
        <v/>
      </c>
      <c r="S16" s="6">
        <f>IF($A16="","",IF(OR($I16="Awarded",$I16="Declined",$I16="Withdrawn"),"CLOSED",IF(NOT(ISNUMBER($H16)),"NO DEADLINE SET",IF($H16&lt;TODAY(),"OVERDUE "&amp;TODAY()-$H16&amp;" DAYS",IF($H16-TODAY()&lt;=14,"DUE IN "&amp;$H16-TODAY()&amp;" DAYS","OPEN")))))</f>
        <v/>
      </c>
      <c r="T16" s="6">
        <f>IF($A16="","",IF(COUNTIFS($B$2:$B$41,$B16,$C$2:$C$41,$C16)&gt;1,"DUPLICATE OF ANOTHER ROW",""))</f>
        <v/>
      </c>
      <c r="U16" s="6">
        <f>IF($A16="","",IF($B16="","No funder name. ","")&amp;IF(AND(ISNUMBER($F16),ISNUMBER($G16),$G16&lt;$F16),"Award max is below award min. ","")&amp;IF(AND($I16="Submitted",NOT(ISNUMBER($M16))),"Status is Submitted but there is no submitted date. ","")&amp;IF(AND($I16="Awarded",NOT(ISNUMBER($O16))),"Status is Awarded but there is no awarded amount. ","")&amp;IF(AND($I16&lt;&gt;"Research",$I16&lt;&gt;"",NOT(ISNUMBER($H16))),"There is no deadline date. ","")&amp;IF(AND(ISNUMBER($O16),ISNUMBER($G16),$O16&gt;$G16),"Awarded amount is above the award max you recorded. ",""))</f>
        <v/>
      </c>
      <c r="V16" s="8">
        <f>IF(AND($A16&lt;&gt;"",ISNUMBER($H16),$I16&lt;&gt;"Awarded",$I16&lt;&gt;"Declined",$I16&lt;&gt;"Withdrawn"),$H16,"")</f>
        <v/>
      </c>
    </row>
    <row r="17">
      <c r="A17" s="9" t="inlineStr"/>
      <c r="B17" s="9" t="inlineStr"/>
      <c r="C17" s="9" t="inlineStr"/>
      <c r="D17" s="9" t="inlineStr"/>
      <c r="E17" s="9" t="inlineStr"/>
      <c r="F17" s="10" t="n"/>
      <c r="G17" s="10" t="n"/>
      <c r="H17" s="11" t="n"/>
      <c r="I17" s="9" t="inlineStr"/>
      <c r="J17" s="9" t="inlineStr"/>
      <c r="K17" s="9" t="inlineStr"/>
      <c r="L17" s="9" t="inlineStr"/>
      <c r="M17" s="11" t="n"/>
      <c r="N17" s="11" t="n"/>
      <c r="O17" s="10" t="n"/>
      <c r="P17" s="6">
        <f>IF($A17="","",COUNTIFS(Docs!$A$2:$A$201,$A17,Docs!$C$2:$C$201,"Y",Docs!$D$2:$D$201,"Y")&amp;"/"&amp;COUNTIFS(Docs!$A$2:$A$201,$A17,Docs!$C$2:$C$201,"Y"))</f>
        <v/>
      </c>
      <c r="Q17" s="6">
        <f>IF($A17="","",IF(COUNTIFS(Docs!$A$2:$A$201,$A17,Docs!$C$2:$C$201,"Y",Docs!$D$2:$D$201,"N")&gt;0,"MISSING","OK"))</f>
        <v/>
      </c>
      <c r="R17" s="7">
        <f>IF(AND($A17&lt;&gt;"",ISNUMBER($H17)),$H17-TODAY(),"")</f>
        <v/>
      </c>
      <c r="S17" s="6">
        <f>IF($A17="","",IF(OR($I17="Awarded",$I17="Declined",$I17="Withdrawn"),"CLOSED",IF(NOT(ISNUMBER($H17)),"NO DEADLINE SET",IF($H17&lt;TODAY(),"OVERDUE "&amp;TODAY()-$H17&amp;" DAYS",IF($H17-TODAY()&lt;=14,"DUE IN "&amp;$H17-TODAY()&amp;" DAYS","OPEN")))))</f>
        <v/>
      </c>
      <c r="T17" s="6">
        <f>IF($A17="","",IF(COUNTIFS($B$2:$B$41,$B17,$C$2:$C$41,$C17)&gt;1,"DUPLICATE OF ANOTHER ROW",""))</f>
        <v/>
      </c>
      <c r="U17" s="6">
        <f>IF($A17="","",IF($B17="","No funder name. ","")&amp;IF(AND(ISNUMBER($F17),ISNUMBER($G17),$G17&lt;$F17),"Award max is below award min. ","")&amp;IF(AND($I17="Submitted",NOT(ISNUMBER($M17))),"Status is Submitted but there is no submitted date. ","")&amp;IF(AND($I17="Awarded",NOT(ISNUMBER($O17))),"Status is Awarded but there is no awarded amount. ","")&amp;IF(AND($I17&lt;&gt;"Research",$I17&lt;&gt;"",NOT(ISNUMBER($H17))),"There is no deadline date. ","")&amp;IF(AND(ISNUMBER($O17),ISNUMBER($G17),$O17&gt;$G17),"Awarded amount is above the award max you recorded. ",""))</f>
        <v/>
      </c>
      <c r="V17" s="8">
        <f>IF(AND($A17&lt;&gt;"",ISNUMBER($H17),$I17&lt;&gt;"Awarded",$I17&lt;&gt;"Declined",$I17&lt;&gt;"Withdrawn"),$H17,"")</f>
        <v/>
      </c>
    </row>
    <row r="18">
      <c r="A18" s="9" t="inlineStr"/>
      <c r="B18" s="9" t="inlineStr"/>
      <c r="C18" s="9" t="inlineStr"/>
      <c r="D18" s="9" t="inlineStr"/>
      <c r="E18" s="9" t="inlineStr"/>
      <c r="F18" s="10" t="n"/>
      <c r="G18" s="10" t="n"/>
      <c r="H18" s="11" t="n"/>
      <c r="I18" s="9" t="inlineStr"/>
      <c r="J18" s="9" t="inlineStr"/>
      <c r="K18" s="9" t="inlineStr"/>
      <c r="L18" s="9" t="inlineStr"/>
      <c r="M18" s="11" t="n"/>
      <c r="N18" s="11" t="n"/>
      <c r="O18" s="10" t="n"/>
      <c r="P18" s="6">
        <f>IF($A18="","",COUNTIFS(Docs!$A$2:$A$201,$A18,Docs!$C$2:$C$201,"Y",Docs!$D$2:$D$201,"Y")&amp;"/"&amp;COUNTIFS(Docs!$A$2:$A$201,$A18,Docs!$C$2:$C$201,"Y"))</f>
        <v/>
      </c>
      <c r="Q18" s="6">
        <f>IF($A18="","",IF(COUNTIFS(Docs!$A$2:$A$201,$A18,Docs!$C$2:$C$201,"Y",Docs!$D$2:$D$201,"N")&gt;0,"MISSING","OK"))</f>
        <v/>
      </c>
      <c r="R18" s="7">
        <f>IF(AND($A18&lt;&gt;"",ISNUMBER($H18)),$H18-TODAY(),"")</f>
        <v/>
      </c>
      <c r="S18" s="6">
        <f>IF($A18="","",IF(OR($I18="Awarded",$I18="Declined",$I18="Withdrawn"),"CLOSED",IF(NOT(ISNUMBER($H18)),"NO DEADLINE SET",IF($H18&lt;TODAY(),"OVERDUE "&amp;TODAY()-$H18&amp;" DAYS",IF($H18-TODAY()&lt;=14,"DUE IN "&amp;$H18-TODAY()&amp;" DAYS","OPEN")))))</f>
        <v/>
      </c>
      <c r="T18" s="6">
        <f>IF($A18="","",IF(COUNTIFS($B$2:$B$41,$B18,$C$2:$C$41,$C18)&gt;1,"DUPLICATE OF ANOTHER ROW",""))</f>
        <v/>
      </c>
      <c r="U18" s="6">
        <f>IF($A18="","",IF($B18="","No funder name. ","")&amp;IF(AND(ISNUMBER($F18),ISNUMBER($G18),$G18&lt;$F18),"Award max is below award min. ","")&amp;IF(AND($I18="Submitted",NOT(ISNUMBER($M18))),"Status is Submitted but there is no submitted date. ","")&amp;IF(AND($I18="Awarded",NOT(ISNUMBER($O18))),"Status is Awarded but there is no awarded amount. ","")&amp;IF(AND($I18&lt;&gt;"Research",$I18&lt;&gt;"",NOT(ISNUMBER($H18))),"There is no deadline date. ","")&amp;IF(AND(ISNUMBER($O18),ISNUMBER($G18),$O18&gt;$G18),"Awarded amount is above the award max you recorded. ",""))</f>
        <v/>
      </c>
      <c r="V18" s="8">
        <f>IF(AND($A18&lt;&gt;"",ISNUMBER($H18),$I18&lt;&gt;"Awarded",$I18&lt;&gt;"Declined",$I18&lt;&gt;"Withdrawn"),$H18,"")</f>
        <v/>
      </c>
    </row>
    <row r="19">
      <c r="A19" s="9" t="inlineStr"/>
      <c r="B19" s="9" t="inlineStr"/>
      <c r="C19" s="9" t="inlineStr"/>
      <c r="D19" s="9" t="inlineStr"/>
      <c r="E19" s="9" t="inlineStr"/>
      <c r="F19" s="10" t="n"/>
      <c r="G19" s="10" t="n"/>
      <c r="H19" s="11" t="n"/>
      <c r="I19" s="9" t="inlineStr"/>
      <c r="J19" s="9" t="inlineStr"/>
      <c r="K19" s="9" t="inlineStr"/>
      <c r="L19" s="9" t="inlineStr"/>
      <c r="M19" s="11" t="n"/>
      <c r="N19" s="11" t="n"/>
      <c r="O19" s="10" t="n"/>
      <c r="P19" s="6">
        <f>IF($A19="","",COUNTIFS(Docs!$A$2:$A$201,$A19,Docs!$C$2:$C$201,"Y",Docs!$D$2:$D$201,"Y")&amp;"/"&amp;COUNTIFS(Docs!$A$2:$A$201,$A19,Docs!$C$2:$C$201,"Y"))</f>
        <v/>
      </c>
      <c r="Q19" s="6">
        <f>IF($A19="","",IF(COUNTIFS(Docs!$A$2:$A$201,$A19,Docs!$C$2:$C$201,"Y",Docs!$D$2:$D$201,"N")&gt;0,"MISSING","OK"))</f>
        <v/>
      </c>
      <c r="R19" s="7">
        <f>IF(AND($A19&lt;&gt;"",ISNUMBER($H19)),$H19-TODAY(),"")</f>
        <v/>
      </c>
      <c r="S19" s="6">
        <f>IF($A19="","",IF(OR($I19="Awarded",$I19="Declined",$I19="Withdrawn"),"CLOSED",IF(NOT(ISNUMBER($H19)),"NO DEADLINE SET",IF($H19&lt;TODAY(),"OVERDUE "&amp;TODAY()-$H19&amp;" DAYS",IF($H19-TODAY()&lt;=14,"DUE IN "&amp;$H19-TODAY()&amp;" DAYS","OPEN")))))</f>
        <v/>
      </c>
      <c r="T19" s="6">
        <f>IF($A19="","",IF(COUNTIFS($B$2:$B$41,$B19,$C$2:$C$41,$C19)&gt;1,"DUPLICATE OF ANOTHER ROW",""))</f>
        <v/>
      </c>
      <c r="U19" s="6">
        <f>IF($A19="","",IF($B19="","No funder name. ","")&amp;IF(AND(ISNUMBER($F19),ISNUMBER($G19),$G19&lt;$F19),"Award max is below award min. ","")&amp;IF(AND($I19="Submitted",NOT(ISNUMBER($M19))),"Status is Submitted but there is no submitted date. ","")&amp;IF(AND($I19="Awarded",NOT(ISNUMBER($O19))),"Status is Awarded but there is no awarded amount. ","")&amp;IF(AND($I19&lt;&gt;"Research",$I19&lt;&gt;"",NOT(ISNUMBER($H19))),"There is no deadline date. ","")&amp;IF(AND(ISNUMBER($O19),ISNUMBER($G19),$O19&gt;$G19),"Awarded amount is above the award max you recorded. ",""))</f>
        <v/>
      </c>
      <c r="V19" s="8">
        <f>IF(AND($A19&lt;&gt;"",ISNUMBER($H19),$I19&lt;&gt;"Awarded",$I19&lt;&gt;"Declined",$I19&lt;&gt;"Withdrawn"),$H19,"")</f>
        <v/>
      </c>
    </row>
    <row r="20">
      <c r="A20" s="9" t="inlineStr"/>
      <c r="B20" s="9" t="inlineStr"/>
      <c r="C20" s="9" t="inlineStr"/>
      <c r="D20" s="9" t="inlineStr"/>
      <c r="E20" s="9" t="inlineStr"/>
      <c r="F20" s="10" t="n"/>
      <c r="G20" s="10" t="n"/>
      <c r="H20" s="11" t="n"/>
      <c r="I20" s="9" t="inlineStr"/>
      <c r="J20" s="9" t="inlineStr"/>
      <c r="K20" s="9" t="inlineStr"/>
      <c r="L20" s="9" t="inlineStr"/>
      <c r="M20" s="11" t="n"/>
      <c r="N20" s="11" t="n"/>
      <c r="O20" s="10" t="n"/>
      <c r="P20" s="6">
        <f>IF($A20="","",COUNTIFS(Docs!$A$2:$A$201,$A20,Docs!$C$2:$C$201,"Y",Docs!$D$2:$D$201,"Y")&amp;"/"&amp;COUNTIFS(Docs!$A$2:$A$201,$A20,Docs!$C$2:$C$201,"Y"))</f>
        <v/>
      </c>
      <c r="Q20" s="6">
        <f>IF($A20="","",IF(COUNTIFS(Docs!$A$2:$A$201,$A20,Docs!$C$2:$C$201,"Y",Docs!$D$2:$D$201,"N")&gt;0,"MISSING","OK"))</f>
        <v/>
      </c>
      <c r="R20" s="7">
        <f>IF(AND($A20&lt;&gt;"",ISNUMBER($H20)),$H20-TODAY(),"")</f>
        <v/>
      </c>
      <c r="S20" s="6">
        <f>IF($A20="","",IF(OR($I20="Awarded",$I20="Declined",$I20="Withdrawn"),"CLOSED",IF(NOT(ISNUMBER($H20)),"NO DEADLINE SET",IF($H20&lt;TODAY(),"OVERDUE "&amp;TODAY()-$H20&amp;" DAYS",IF($H20-TODAY()&lt;=14,"DUE IN "&amp;$H20-TODAY()&amp;" DAYS","OPEN")))))</f>
        <v/>
      </c>
      <c r="T20" s="6">
        <f>IF($A20="","",IF(COUNTIFS($B$2:$B$41,$B20,$C$2:$C$41,$C20)&gt;1,"DUPLICATE OF ANOTHER ROW",""))</f>
        <v/>
      </c>
      <c r="U20" s="6">
        <f>IF($A20="","",IF($B20="","No funder name. ","")&amp;IF(AND(ISNUMBER($F20),ISNUMBER($G20),$G20&lt;$F20),"Award max is below award min. ","")&amp;IF(AND($I20="Submitted",NOT(ISNUMBER($M20))),"Status is Submitted but there is no submitted date. ","")&amp;IF(AND($I20="Awarded",NOT(ISNUMBER($O20))),"Status is Awarded but there is no awarded amount. ","")&amp;IF(AND($I20&lt;&gt;"Research",$I20&lt;&gt;"",NOT(ISNUMBER($H20))),"There is no deadline date. ","")&amp;IF(AND(ISNUMBER($O20),ISNUMBER($G20),$O20&gt;$G20),"Awarded amount is above the award max you recorded. ",""))</f>
        <v/>
      </c>
      <c r="V20" s="8">
        <f>IF(AND($A20&lt;&gt;"",ISNUMBER($H20),$I20&lt;&gt;"Awarded",$I20&lt;&gt;"Declined",$I20&lt;&gt;"Withdrawn"),$H20,"")</f>
        <v/>
      </c>
    </row>
    <row r="21">
      <c r="A21" s="9" t="inlineStr"/>
      <c r="B21" s="9" t="inlineStr"/>
      <c r="C21" s="9" t="inlineStr"/>
      <c r="D21" s="9" t="inlineStr"/>
      <c r="E21" s="9" t="inlineStr"/>
      <c r="F21" s="10" t="n"/>
      <c r="G21" s="10" t="n"/>
      <c r="H21" s="11" t="n"/>
      <c r="I21" s="9" t="inlineStr"/>
      <c r="J21" s="9" t="inlineStr"/>
      <c r="K21" s="9" t="inlineStr"/>
      <c r="L21" s="9" t="inlineStr"/>
      <c r="M21" s="11" t="n"/>
      <c r="N21" s="11" t="n"/>
      <c r="O21" s="10" t="n"/>
      <c r="P21" s="6">
        <f>IF($A21="","",COUNTIFS(Docs!$A$2:$A$201,$A21,Docs!$C$2:$C$201,"Y",Docs!$D$2:$D$201,"Y")&amp;"/"&amp;COUNTIFS(Docs!$A$2:$A$201,$A21,Docs!$C$2:$C$201,"Y"))</f>
        <v/>
      </c>
      <c r="Q21" s="6">
        <f>IF($A21="","",IF(COUNTIFS(Docs!$A$2:$A$201,$A21,Docs!$C$2:$C$201,"Y",Docs!$D$2:$D$201,"N")&gt;0,"MISSING","OK"))</f>
        <v/>
      </c>
      <c r="R21" s="7">
        <f>IF(AND($A21&lt;&gt;"",ISNUMBER($H21)),$H21-TODAY(),"")</f>
        <v/>
      </c>
      <c r="S21" s="6">
        <f>IF($A21="","",IF(OR($I21="Awarded",$I21="Declined",$I21="Withdrawn"),"CLOSED",IF(NOT(ISNUMBER($H21)),"NO DEADLINE SET",IF($H21&lt;TODAY(),"OVERDUE "&amp;TODAY()-$H21&amp;" DAYS",IF($H21-TODAY()&lt;=14,"DUE IN "&amp;$H21-TODAY()&amp;" DAYS","OPEN")))))</f>
        <v/>
      </c>
      <c r="T21" s="6">
        <f>IF($A21="","",IF(COUNTIFS($B$2:$B$41,$B21,$C$2:$C$41,$C21)&gt;1,"DUPLICATE OF ANOTHER ROW",""))</f>
        <v/>
      </c>
      <c r="U21" s="6">
        <f>IF($A21="","",IF($B21="","No funder name. ","")&amp;IF(AND(ISNUMBER($F21),ISNUMBER($G21),$G21&lt;$F21),"Award max is below award min. ","")&amp;IF(AND($I21="Submitted",NOT(ISNUMBER($M21))),"Status is Submitted but there is no submitted date. ","")&amp;IF(AND($I21="Awarded",NOT(ISNUMBER($O21))),"Status is Awarded but there is no awarded amount. ","")&amp;IF(AND($I21&lt;&gt;"Research",$I21&lt;&gt;"",NOT(ISNUMBER($H21))),"There is no deadline date. ","")&amp;IF(AND(ISNUMBER($O21),ISNUMBER($G21),$O21&gt;$G21),"Awarded amount is above the award max you recorded. ",""))</f>
        <v/>
      </c>
      <c r="V21" s="8">
        <f>IF(AND($A21&lt;&gt;"",ISNUMBER($H21),$I21&lt;&gt;"Awarded",$I21&lt;&gt;"Declined",$I21&lt;&gt;"Withdrawn"),$H21,"")</f>
        <v/>
      </c>
    </row>
    <row r="22">
      <c r="A22" s="9" t="inlineStr"/>
      <c r="B22" s="9" t="inlineStr"/>
      <c r="C22" s="9" t="inlineStr"/>
      <c r="D22" s="9" t="inlineStr"/>
      <c r="E22" s="9" t="inlineStr"/>
      <c r="F22" s="10" t="n"/>
      <c r="G22" s="10" t="n"/>
      <c r="H22" s="11" t="n"/>
      <c r="I22" s="9" t="inlineStr"/>
      <c r="J22" s="9" t="inlineStr"/>
      <c r="K22" s="9" t="inlineStr"/>
      <c r="L22" s="9" t="inlineStr"/>
      <c r="M22" s="11" t="n"/>
      <c r="N22" s="11" t="n"/>
      <c r="O22" s="10" t="n"/>
      <c r="P22" s="6">
        <f>IF($A22="","",COUNTIFS(Docs!$A$2:$A$201,$A22,Docs!$C$2:$C$201,"Y",Docs!$D$2:$D$201,"Y")&amp;"/"&amp;COUNTIFS(Docs!$A$2:$A$201,$A22,Docs!$C$2:$C$201,"Y"))</f>
        <v/>
      </c>
      <c r="Q22" s="6">
        <f>IF($A22="","",IF(COUNTIFS(Docs!$A$2:$A$201,$A22,Docs!$C$2:$C$201,"Y",Docs!$D$2:$D$201,"N")&gt;0,"MISSING","OK"))</f>
        <v/>
      </c>
      <c r="R22" s="7">
        <f>IF(AND($A22&lt;&gt;"",ISNUMBER($H22)),$H22-TODAY(),"")</f>
        <v/>
      </c>
      <c r="S22" s="6">
        <f>IF($A22="","",IF(OR($I22="Awarded",$I22="Declined",$I22="Withdrawn"),"CLOSED",IF(NOT(ISNUMBER($H22)),"NO DEADLINE SET",IF($H22&lt;TODAY(),"OVERDUE "&amp;TODAY()-$H22&amp;" DAYS",IF($H22-TODAY()&lt;=14,"DUE IN "&amp;$H22-TODAY()&amp;" DAYS","OPEN")))))</f>
        <v/>
      </c>
      <c r="T22" s="6">
        <f>IF($A22="","",IF(COUNTIFS($B$2:$B$41,$B22,$C$2:$C$41,$C22)&gt;1,"DUPLICATE OF ANOTHER ROW",""))</f>
        <v/>
      </c>
      <c r="U22" s="6">
        <f>IF($A22="","",IF($B22="","No funder name. ","")&amp;IF(AND(ISNUMBER($F22),ISNUMBER($G22),$G22&lt;$F22),"Award max is below award min. ","")&amp;IF(AND($I22="Submitted",NOT(ISNUMBER($M22))),"Status is Submitted but there is no submitted date. ","")&amp;IF(AND($I22="Awarded",NOT(ISNUMBER($O22))),"Status is Awarded but there is no awarded amount. ","")&amp;IF(AND($I22&lt;&gt;"Research",$I22&lt;&gt;"",NOT(ISNUMBER($H22))),"There is no deadline date. ","")&amp;IF(AND(ISNUMBER($O22),ISNUMBER($G22),$O22&gt;$G22),"Awarded amount is above the award max you recorded. ",""))</f>
        <v/>
      </c>
      <c r="V22" s="8">
        <f>IF(AND($A22&lt;&gt;"",ISNUMBER($H22),$I22&lt;&gt;"Awarded",$I22&lt;&gt;"Declined",$I22&lt;&gt;"Withdrawn"),$H22,"")</f>
        <v/>
      </c>
    </row>
    <row r="23">
      <c r="A23" s="9" t="inlineStr"/>
      <c r="B23" s="9" t="inlineStr"/>
      <c r="C23" s="9" t="inlineStr"/>
      <c r="D23" s="9" t="inlineStr"/>
      <c r="E23" s="9" t="inlineStr"/>
      <c r="F23" s="10" t="n"/>
      <c r="G23" s="10" t="n"/>
      <c r="H23" s="11" t="n"/>
      <c r="I23" s="9" t="inlineStr"/>
      <c r="J23" s="9" t="inlineStr"/>
      <c r="K23" s="9" t="inlineStr"/>
      <c r="L23" s="9" t="inlineStr"/>
      <c r="M23" s="11" t="n"/>
      <c r="N23" s="11" t="n"/>
      <c r="O23" s="10" t="n"/>
      <c r="P23" s="6">
        <f>IF($A23="","",COUNTIFS(Docs!$A$2:$A$201,$A23,Docs!$C$2:$C$201,"Y",Docs!$D$2:$D$201,"Y")&amp;"/"&amp;COUNTIFS(Docs!$A$2:$A$201,$A23,Docs!$C$2:$C$201,"Y"))</f>
        <v/>
      </c>
      <c r="Q23" s="6">
        <f>IF($A23="","",IF(COUNTIFS(Docs!$A$2:$A$201,$A23,Docs!$C$2:$C$201,"Y",Docs!$D$2:$D$201,"N")&gt;0,"MISSING","OK"))</f>
        <v/>
      </c>
      <c r="R23" s="7">
        <f>IF(AND($A23&lt;&gt;"",ISNUMBER($H23)),$H23-TODAY(),"")</f>
        <v/>
      </c>
      <c r="S23" s="6">
        <f>IF($A23="","",IF(OR($I23="Awarded",$I23="Declined",$I23="Withdrawn"),"CLOSED",IF(NOT(ISNUMBER($H23)),"NO DEADLINE SET",IF($H23&lt;TODAY(),"OVERDUE "&amp;TODAY()-$H23&amp;" DAYS",IF($H23-TODAY()&lt;=14,"DUE IN "&amp;$H23-TODAY()&amp;" DAYS","OPEN")))))</f>
        <v/>
      </c>
      <c r="T23" s="6">
        <f>IF($A23="","",IF(COUNTIFS($B$2:$B$41,$B23,$C$2:$C$41,$C23)&gt;1,"DUPLICATE OF ANOTHER ROW",""))</f>
        <v/>
      </c>
      <c r="U23" s="6">
        <f>IF($A23="","",IF($B23="","No funder name. ","")&amp;IF(AND(ISNUMBER($F23),ISNUMBER($G23),$G23&lt;$F23),"Award max is below award min. ","")&amp;IF(AND($I23="Submitted",NOT(ISNUMBER($M23))),"Status is Submitted but there is no submitted date. ","")&amp;IF(AND($I23="Awarded",NOT(ISNUMBER($O23))),"Status is Awarded but there is no awarded amount. ","")&amp;IF(AND($I23&lt;&gt;"Research",$I23&lt;&gt;"",NOT(ISNUMBER($H23))),"There is no deadline date. ","")&amp;IF(AND(ISNUMBER($O23),ISNUMBER($G23),$O23&gt;$G23),"Awarded amount is above the award max you recorded. ",""))</f>
        <v/>
      </c>
      <c r="V23" s="8">
        <f>IF(AND($A23&lt;&gt;"",ISNUMBER($H23),$I23&lt;&gt;"Awarded",$I23&lt;&gt;"Declined",$I23&lt;&gt;"Withdrawn"),$H23,"")</f>
        <v/>
      </c>
    </row>
    <row r="24">
      <c r="A24" s="9" t="inlineStr"/>
      <c r="B24" s="9" t="inlineStr"/>
      <c r="C24" s="9" t="inlineStr"/>
      <c r="D24" s="9" t="inlineStr"/>
      <c r="E24" s="9" t="inlineStr"/>
      <c r="F24" s="10" t="n"/>
      <c r="G24" s="10" t="n"/>
      <c r="H24" s="11" t="n"/>
      <c r="I24" s="9" t="inlineStr"/>
      <c r="J24" s="9" t="inlineStr"/>
      <c r="K24" s="9" t="inlineStr"/>
      <c r="L24" s="9" t="inlineStr"/>
      <c r="M24" s="11" t="n"/>
      <c r="N24" s="11" t="n"/>
      <c r="O24" s="10" t="n"/>
      <c r="P24" s="6">
        <f>IF($A24="","",COUNTIFS(Docs!$A$2:$A$201,$A24,Docs!$C$2:$C$201,"Y",Docs!$D$2:$D$201,"Y")&amp;"/"&amp;COUNTIFS(Docs!$A$2:$A$201,$A24,Docs!$C$2:$C$201,"Y"))</f>
        <v/>
      </c>
      <c r="Q24" s="6">
        <f>IF($A24="","",IF(COUNTIFS(Docs!$A$2:$A$201,$A24,Docs!$C$2:$C$201,"Y",Docs!$D$2:$D$201,"N")&gt;0,"MISSING","OK"))</f>
        <v/>
      </c>
      <c r="R24" s="7">
        <f>IF(AND($A24&lt;&gt;"",ISNUMBER($H24)),$H24-TODAY(),"")</f>
        <v/>
      </c>
      <c r="S24" s="6">
        <f>IF($A24="","",IF(OR($I24="Awarded",$I24="Declined",$I24="Withdrawn"),"CLOSED",IF(NOT(ISNUMBER($H24)),"NO DEADLINE SET",IF($H24&lt;TODAY(),"OVERDUE "&amp;TODAY()-$H24&amp;" DAYS",IF($H24-TODAY()&lt;=14,"DUE IN "&amp;$H24-TODAY()&amp;" DAYS","OPEN")))))</f>
        <v/>
      </c>
      <c r="T24" s="6">
        <f>IF($A24="","",IF(COUNTIFS($B$2:$B$41,$B24,$C$2:$C$41,$C24)&gt;1,"DUPLICATE OF ANOTHER ROW",""))</f>
        <v/>
      </c>
      <c r="U24" s="6">
        <f>IF($A24="","",IF($B24="","No funder name. ","")&amp;IF(AND(ISNUMBER($F24),ISNUMBER($G24),$G24&lt;$F24),"Award max is below award min. ","")&amp;IF(AND($I24="Submitted",NOT(ISNUMBER($M24))),"Status is Submitted but there is no submitted date. ","")&amp;IF(AND($I24="Awarded",NOT(ISNUMBER($O24))),"Status is Awarded but there is no awarded amount. ","")&amp;IF(AND($I24&lt;&gt;"Research",$I24&lt;&gt;"",NOT(ISNUMBER($H24))),"There is no deadline date. ","")&amp;IF(AND(ISNUMBER($O24),ISNUMBER($G24),$O24&gt;$G24),"Awarded amount is above the award max you recorded. ",""))</f>
        <v/>
      </c>
      <c r="V24" s="8">
        <f>IF(AND($A24&lt;&gt;"",ISNUMBER($H24),$I24&lt;&gt;"Awarded",$I24&lt;&gt;"Declined",$I24&lt;&gt;"Withdrawn"),$H24,"")</f>
        <v/>
      </c>
    </row>
    <row r="25">
      <c r="A25" s="9" t="inlineStr"/>
      <c r="B25" s="9" t="inlineStr"/>
      <c r="C25" s="9" t="inlineStr"/>
      <c r="D25" s="9" t="inlineStr"/>
      <c r="E25" s="9" t="inlineStr"/>
      <c r="F25" s="10" t="n"/>
      <c r="G25" s="10" t="n"/>
      <c r="H25" s="11" t="n"/>
      <c r="I25" s="9" t="inlineStr"/>
      <c r="J25" s="9" t="inlineStr"/>
      <c r="K25" s="9" t="inlineStr"/>
      <c r="L25" s="9" t="inlineStr"/>
      <c r="M25" s="11" t="n"/>
      <c r="N25" s="11" t="n"/>
      <c r="O25" s="10" t="n"/>
      <c r="P25" s="6">
        <f>IF($A25="","",COUNTIFS(Docs!$A$2:$A$201,$A25,Docs!$C$2:$C$201,"Y",Docs!$D$2:$D$201,"Y")&amp;"/"&amp;COUNTIFS(Docs!$A$2:$A$201,$A25,Docs!$C$2:$C$201,"Y"))</f>
        <v/>
      </c>
      <c r="Q25" s="6">
        <f>IF($A25="","",IF(COUNTIFS(Docs!$A$2:$A$201,$A25,Docs!$C$2:$C$201,"Y",Docs!$D$2:$D$201,"N")&gt;0,"MISSING","OK"))</f>
        <v/>
      </c>
      <c r="R25" s="7">
        <f>IF(AND($A25&lt;&gt;"",ISNUMBER($H25)),$H25-TODAY(),"")</f>
        <v/>
      </c>
      <c r="S25" s="6">
        <f>IF($A25="","",IF(OR($I25="Awarded",$I25="Declined",$I25="Withdrawn"),"CLOSED",IF(NOT(ISNUMBER($H25)),"NO DEADLINE SET",IF($H25&lt;TODAY(),"OVERDUE "&amp;TODAY()-$H25&amp;" DAYS",IF($H25-TODAY()&lt;=14,"DUE IN "&amp;$H25-TODAY()&amp;" DAYS","OPEN")))))</f>
        <v/>
      </c>
      <c r="T25" s="6">
        <f>IF($A25="","",IF(COUNTIFS($B$2:$B$41,$B25,$C$2:$C$41,$C25)&gt;1,"DUPLICATE OF ANOTHER ROW",""))</f>
        <v/>
      </c>
      <c r="U25" s="6">
        <f>IF($A25="","",IF($B25="","No funder name. ","")&amp;IF(AND(ISNUMBER($F25),ISNUMBER($G25),$G25&lt;$F25),"Award max is below award min. ","")&amp;IF(AND($I25="Submitted",NOT(ISNUMBER($M25))),"Status is Submitted but there is no submitted date. ","")&amp;IF(AND($I25="Awarded",NOT(ISNUMBER($O25))),"Status is Awarded but there is no awarded amount. ","")&amp;IF(AND($I25&lt;&gt;"Research",$I25&lt;&gt;"",NOT(ISNUMBER($H25))),"There is no deadline date. ","")&amp;IF(AND(ISNUMBER($O25),ISNUMBER($G25),$O25&gt;$G25),"Awarded amount is above the award max you recorded. ",""))</f>
        <v/>
      </c>
      <c r="V25" s="8">
        <f>IF(AND($A25&lt;&gt;"",ISNUMBER($H25),$I25&lt;&gt;"Awarded",$I25&lt;&gt;"Declined",$I25&lt;&gt;"Withdrawn"),$H25,"")</f>
        <v/>
      </c>
    </row>
    <row r="26">
      <c r="A26" s="9" t="inlineStr"/>
      <c r="B26" s="9" t="inlineStr"/>
      <c r="C26" s="9" t="inlineStr"/>
      <c r="D26" s="9" t="inlineStr"/>
      <c r="E26" s="9" t="inlineStr"/>
      <c r="F26" s="10" t="n"/>
      <c r="G26" s="10" t="n"/>
      <c r="H26" s="11" t="n"/>
      <c r="I26" s="9" t="inlineStr"/>
      <c r="J26" s="9" t="inlineStr"/>
      <c r="K26" s="9" t="inlineStr"/>
      <c r="L26" s="9" t="inlineStr"/>
      <c r="M26" s="11" t="n"/>
      <c r="N26" s="11" t="n"/>
      <c r="O26" s="10" t="n"/>
      <c r="P26" s="6">
        <f>IF($A26="","",COUNTIFS(Docs!$A$2:$A$201,$A26,Docs!$C$2:$C$201,"Y",Docs!$D$2:$D$201,"Y")&amp;"/"&amp;COUNTIFS(Docs!$A$2:$A$201,$A26,Docs!$C$2:$C$201,"Y"))</f>
        <v/>
      </c>
      <c r="Q26" s="6">
        <f>IF($A26="","",IF(COUNTIFS(Docs!$A$2:$A$201,$A26,Docs!$C$2:$C$201,"Y",Docs!$D$2:$D$201,"N")&gt;0,"MISSING","OK"))</f>
        <v/>
      </c>
      <c r="R26" s="7">
        <f>IF(AND($A26&lt;&gt;"",ISNUMBER($H26)),$H26-TODAY(),"")</f>
        <v/>
      </c>
      <c r="S26" s="6">
        <f>IF($A26="","",IF(OR($I26="Awarded",$I26="Declined",$I26="Withdrawn"),"CLOSED",IF(NOT(ISNUMBER($H26)),"NO DEADLINE SET",IF($H26&lt;TODAY(),"OVERDUE "&amp;TODAY()-$H26&amp;" DAYS",IF($H26-TODAY()&lt;=14,"DUE IN "&amp;$H26-TODAY()&amp;" DAYS","OPEN")))))</f>
        <v/>
      </c>
      <c r="T26" s="6">
        <f>IF($A26="","",IF(COUNTIFS($B$2:$B$41,$B26,$C$2:$C$41,$C26)&gt;1,"DUPLICATE OF ANOTHER ROW",""))</f>
        <v/>
      </c>
      <c r="U26" s="6">
        <f>IF($A26="","",IF($B26="","No funder name. ","")&amp;IF(AND(ISNUMBER($F26),ISNUMBER($G26),$G26&lt;$F26),"Award max is below award min. ","")&amp;IF(AND($I26="Submitted",NOT(ISNUMBER($M26))),"Status is Submitted but there is no submitted date. ","")&amp;IF(AND($I26="Awarded",NOT(ISNUMBER($O26))),"Status is Awarded but there is no awarded amount. ","")&amp;IF(AND($I26&lt;&gt;"Research",$I26&lt;&gt;"",NOT(ISNUMBER($H26))),"There is no deadline date. ","")&amp;IF(AND(ISNUMBER($O26),ISNUMBER($G26),$O26&gt;$G26),"Awarded amount is above the award max you recorded. ",""))</f>
        <v/>
      </c>
      <c r="V26" s="8">
        <f>IF(AND($A26&lt;&gt;"",ISNUMBER($H26),$I26&lt;&gt;"Awarded",$I26&lt;&gt;"Declined",$I26&lt;&gt;"Withdrawn"),$H26,"")</f>
        <v/>
      </c>
    </row>
    <row r="27">
      <c r="A27" s="9" t="inlineStr"/>
      <c r="B27" s="9" t="inlineStr"/>
      <c r="C27" s="9" t="inlineStr"/>
      <c r="D27" s="9" t="inlineStr"/>
      <c r="E27" s="9" t="inlineStr"/>
      <c r="F27" s="10" t="n"/>
      <c r="G27" s="10" t="n"/>
      <c r="H27" s="11" t="n"/>
      <c r="I27" s="9" t="inlineStr"/>
      <c r="J27" s="9" t="inlineStr"/>
      <c r="K27" s="9" t="inlineStr"/>
      <c r="L27" s="9" t="inlineStr"/>
      <c r="M27" s="11" t="n"/>
      <c r="N27" s="11" t="n"/>
      <c r="O27" s="10" t="n"/>
      <c r="P27" s="6">
        <f>IF($A27="","",COUNTIFS(Docs!$A$2:$A$201,$A27,Docs!$C$2:$C$201,"Y",Docs!$D$2:$D$201,"Y")&amp;"/"&amp;COUNTIFS(Docs!$A$2:$A$201,$A27,Docs!$C$2:$C$201,"Y"))</f>
        <v/>
      </c>
      <c r="Q27" s="6">
        <f>IF($A27="","",IF(COUNTIFS(Docs!$A$2:$A$201,$A27,Docs!$C$2:$C$201,"Y",Docs!$D$2:$D$201,"N")&gt;0,"MISSING","OK"))</f>
        <v/>
      </c>
      <c r="R27" s="7">
        <f>IF(AND($A27&lt;&gt;"",ISNUMBER($H27)),$H27-TODAY(),"")</f>
        <v/>
      </c>
      <c r="S27" s="6">
        <f>IF($A27="","",IF(OR($I27="Awarded",$I27="Declined",$I27="Withdrawn"),"CLOSED",IF(NOT(ISNUMBER($H27)),"NO DEADLINE SET",IF($H27&lt;TODAY(),"OVERDUE "&amp;TODAY()-$H27&amp;" DAYS",IF($H27-TODAY()&lt;=14,"DUE IN "&amp;$H27-TODAY()&amp;" DAYS","OPEN")))))</f>
        <v/>
      </c>
      <c r="T27" s="6">
        <f>IF($A27="","",IF(COUNTIFS($B$2:$B$41,$B27,$C$2:$C$41,$C27)&gt;1,"DUPLICATE OF ANOTHER ROW",""))</f>
        <v/>
      </c>
      <c r="U27" s="6">
        <f>IF($A27="","",IF($B27="","No funder name. ","")&amp;IF(AND(ISNUMBER($F27),ISNUMBER($G27),$G27&lt;$F27),"Award max is below award min. ","")&amp;IF(AND($I27="Submitted",NOT(ISNUMBER($M27))),"Status is Submitted but there is no submitted date. ","")&amp;IF(AND($I27="Awarded",NOT(ISNUMBER($O27))),"Status is Awarded but there is no awarded amount. ","")&amp;IF(AND($I27&lt;&gt;"Research",$I27&lt;&gt;"",NOT(ISNUMBER($H27))),"There is no deadline date. ","")&amp;IF(AND(ISNUMBER($O27),ISNUMBER($G27),$O27&gt;$G27),"Awarded amount is above the award max you recorded. ",""))</f>
        <v/>
      </c>
      <c r="V27" s="8">
        <f>IF(AND($A27&lt;&gt;"",ISNUMBER($H27),$I27&lt;&gt;"Awarded",$I27&lt;&gt;"Declined",$I27&lt;&gt;"Withdrawn"),$H27,"")</f>
        <v/>
      </c>
    </row>
    <row r="28">
      <c r="A28" s="9" t="inlineStr"/>
      <c r="B28" s="9" t="inlineStr"/>
      <c r="C28" s="9" t="inlineStr"/>
      <c r="D28" s="9" t="inlineStr"/>
      <c r="E28" s="9" t="inlineStr"/>
      <c r="F28" s="10" t="n"/>
      <c r="G28" s="10" t="n"/>
      <c r="H28" s="11" t="n"/>
      <c r="I28" s="9" t="inlineStr"/>
      <c r="J28" s="9" t="inlineStr"/>
      <c r="K28" s="9" t="inlineStr"/>
      <c r="L28" s="9" t="inlineStr"/>
      <c r="M28" s="11" t="n"/>
      <c r="N28" s="11" t="n"/>
      <c r="O28" s="10" t="n"/>
      <c r="P28" s="6">
        <f>IF($A28="","",COUNTIFS(Docs!$A$2:$A$201,$A28,Docs!$C$2:$C$201,"Y",Docs!$D$2:$D$201,"Y")&amp;"/"&amp;COUNTIFS(Docs!$A$2:$A$201,$A28,Docs!$C$2:$C$201,"Y"))</f>
        <v/>
      </c>
      <c r="Q28" s="6">
        <f>IF($A28="","",IF(COUNTIFS(Docs!$A$2:$A$201,$A28,Docs!$C$2:$C$201,"Y",Docs!$D$2:$D$201,"N")&gt;0,"MISSING","OK"))</f>
        <v/>
      </c>
      <c r="R28" s="7">
        <f>IF(AND($A28&lt;&gt;"",ISNUMBER($H28)),$H28-TODAY(),"")</f>
        <v/>
      </c>
      <c r="S28" s="6">
        <f>IF($A28="","",IF(OR($I28="Awarded",$I28="Declined",$I28="Withdrawn"),"CLOSED",IF(NOT(ISNUMBER($H28)),"NO DEADLINE SET",IF($H28&lt;TODAY(),"OVERDUE "&amp;TODAY()-$H28&amp;" DAYS",IF($H28-TODAY()&lt;=14,"DUE IN "&amp;$H28-TODAY()&amp;" DAYS","OPEN")))))</f>
        <v/>
      </c>
      <c r="T28" s="6">
        <f>IF($A28="","",IF(COUNTIFS($B$2:$B$41,$B28,$C$2:$C$41,$C28)&gt;1,"DUPLICATE OF ANOTHER ROW",""))</f>
        <v/>
      </c>
      <c r="U28" s="6">
        <f>IF($A28="","",IF($B28="","No funder name. ","")&amp;IF(AND(ISNUMBER($F28),ISNUMBER($G28),$G28&lt;$F28),"Award max is below award min. ","")&amp;IF(AND($I28="Submitted",NOT(ISNUMBER($M28))),"Status is Submitted but there is no submitted date. ","")&amp;IF(AND($I28="Awarded",NOT(ISNUMBER($O28))),"Status is Awarded but there is no awarded amount. ","")&amp;IF(AND($I28&lt;&gt;"Research",$I28&lt;&gt;"",NOT(ISNUMBER($H28))),"There is no deadline date. ","")&amp;IF(AND(ISNUMBER($O28),ISNUMBER($G28),$O28&gt;$G28),"Awarded amount is above the award max you recorded. ",""))</f>
        <v/>
      </c>
      <c r="V28" s="8">
        <f>IF(AND($A28&lt;&gt;"",ISNUMBER($H28),$I28&lt;&gt;"Awarded",$I28&lt;&gt;"Declined",$I28&lt;&gt;"Withdrawn"),$H28,"")</f>
        <v/>
      </c>
    </row>
    <row r="29">
      <c r="A29" s="9" t="inlineStr"/>
      <c r="B29" s="9" t="inlineStr"/>
      <c r="C29" s="9" t="inlineStr"/>
      <c r="D29" s="9" t="inlineStr"/>
      <c r="E29" s="9" t="inlineStr"/>
      <c r="F29" s="10" t="n"/>
      <c r="G29" s="10" t="n"/>
      <c r="H29" s="11" t="n"/>
      <c r="I29" s="9" t="inlineStr"/>
      <c r="J29" s="9" t="inlineStr"/>
      <c r="K29" s="9" t="inlineStr"/>
      <c r="L29" s="9" t="inlineStr"/>
      <c r="M29" s="11" t="n"/>
      <c r="N29" s="11" t="n"/>
      <c r="O29" s="10" t="n"/>
      <c r="P29" s="6">
        <f>IF($A29="","",COUNTIFS(Docs!$A$2:$A$201,$A29,Docs!$C$2:$C$201,"Y",Docs!$D$2:$D$201,"Y")&amp;"/"&amp;COUNTIFS(Docs!$A$2:$A$201,$A29,Docs!$C$2:$C$201,"Y"))</f>
        <v/>
      </c>
      <c r="Q29" s="6">
        <f>IF($A29="","",IF(COUNTIFS(Docs!$A$2:$A$201,$A29,Docs!$C$2:$C$201,"Y",Docs!$D$2:$D$201,"N")&gt;0,"MISSING","OK"))</f>
        <v/>
      </c>
      <c r="R29" s="7">
        <f>IF(AND($A29&lt;&gt;"",ISNUMBER($H29)),$H29-TODAY(),"")</f>
        <v/>
      </c>
      <c r="S29" s="6">
        <f>IF($A29="","",IF(OR($I29="Awarded",$I29="Declined",$I29="Withdrawn"),"CLOSED",IF(NOT(ISNUMBER($H29)),"NO DEADLINE SET",IF($H29&lt;TODAY(),"OVERDUE "&amp;TODAY()-$H29&amp;" DAYS",IF($H29-TODAY()&lt;=14,"DUE IN "&amp;$H29-TODAY()&amp;" DAYS","OPEN")))))</f>
        <v/>
      </c>
      <c r="T29" s="6">
        <f>IF($A29="","",IF(COUNTIFS($B$2:$B$41,$B29,$C$2:$C$41,$C29)&gt;1,"DUPLICATE OF ANOTHER ROW",""))</f>
        <v/>
      </c>
      <c r="U29" s="6">
        <f>IF($A29="","",IF($B29="","No funder name. ","")&amp;IF(AND(ISNUMBER($F29),ISNUMBER($G29),$G29&lt;$F29),"Award max is below award min. ","")&amp;IF(AND($I29="Submitted",NOT(ISNUMBER($M29))),"Status is Submitted but there is no submitted date. ","")&amp;IF(AND($I29="Awarded",NOT(ISNUMBER($O29))),"Status is Awarded but there is no awarded amount. ","")&amp;IF(AND($I29&lt;&gt;"Research",$I29&lt;&gt;"",NOT(ISNUMBER($H29))),"There is no deadline date. ","")&amp;IF(AND(ISNUMBER($O29),ISNUMBER($G29),$O29&gt;$G29),"Awarded amount is above the award max you recorded. ",""))</f>
        <v/>
      </c>
      <c r="V29" s="8">
        <f>IF(AND($A29&lt;&gt;"",ISNUMBER($H29),$I29&lt;&gt;"Awarded",$I29&lt;&gt;"Declined",$I29&lt;&gt;"Withdrawn"),$H29,"")</f>
        <v/>
      </c>
    </row>
    <row r="30">
      <c r="A30" s="9" t="inlineStr"/>
      <c r="B30" s="9" t="inlineStr"/>
      <c r="C30" s="9" t="inlineStr"/>
      <c r="D30" s="9" t="inlineStr"/>
      <c r="E30" s="9" t="inlineStr"/>
      <c r="F30" s="10" t="n"/>
      <c r="G30" s="10" t="n"/>
      <c r="H30" s="11" t="n"/>
      <c r="I30" s="9" t="inlineStr"/>
      <c r="J30" s="9" t="inlineStr"/>
      <c r="K30" s="9" t="inlineStr"/>
      <c r="L30" s="9" t="inlineStr"/>
      <c r="M30" s="11" t="n"/>
      <c r="N30" s="11" t="n"/>
      <c r="O30" s="10" t="n"/>
      <c r="P30" s="6">
        <f>IF($A30="","",COUNTIFS(Docs!$A$2:$A$201,$A30,Docs!$C$2:$C$201,"Y",Docs!$D$2:$D$201,"Y")&amp;"/"&amp;COUNTIFS(Docs!$A$2:$A$201,$A30,Docs!$C$2:$C$201,"Y"))</f>
        <v/>
      </c>
      <c r="Q30" s="6">
        <f>IF($A30="","",IF(COUNTIFS(Docs!$A$2:$A$201,$A30,Docs!$C$2:$C$201,"Y",Docs!$D$2:$D$201,"N")&gt;0,"MISSING","OK"))</f>
        <v/>
      </c>
      <c r="R30" s="7">
        <f>IF(AND($A30&lt;&gt;"",ISNUMBER($H30)),$H30-TODAY(),"")</f>
        <v/>
      </c>
      <c r="S30" s="6">
        <f>IF($A30="","",IF(OR($I30="Awarded",$I30="Declined",$I30="Withdrawn"),"CLOSED",IF(NOT(ISNUMBER($H30)),"NO DEADLINE SET",IF($H30&lt;TODAY(),"OVERDUE "&amp;TODAY()-$H30&amp;" DAYS",IF($H30-TODAY()&lt;=14,"DUE IN "&amp;$H30-TODAY()&amp;" DAYS","OPEN")))))</f>
        <v/>
      </c>
      <c r="T30" s="6">
        <f>IF($A30="","",IF(COUNTIFS($B$2:$B$41,$B30,$C$2:$C$41,$C30)&gt;1,"DUPLICATE OF ANOTHER ROW",""))</f>
        <v/>
      </c>
      <c r="U30" s="6">
        <f>IF($A30="","",IF($B30="","No funder name. ","")&amp;IF(AND(ISNUMBER($F30),ISNUMBER($G30),$G30&lt;$F30),"Award max is below award min. ","")&amp;IF(AND($I30="Submitted",NOT(ISNUMBER($M30))),"Status is Submitted but there is no submitted date. ","")&amp;IF(AND($I30="Awarded",NOT(ISNUMBER($O30))),"Status is Awarded but there is no awarded amount. ","")&amp;IF(AND($I30&lt;&gt;"Research",$I30&lt;&gt;"",NOT(ISNUMBER($H30))),"There is no deadline date. ","")&amp;IF(AND(ISNUMBER($O30),ISNUMBER($G30),$O30&gt;$G30),"Awarded amount is above the award max you recorded. ",""))</f>
        <v/>
      </c>
      <c r="V30" s="8">
        <f>IF(AND($A30&lt;&gt;"",ISNUMBER($H30),$I30&lt;&gt;"Awarded",$I30&lt;&gt;"Declined",$I30&lt;&gt;"Withdrawn"),$H30,"")</f>
        <v/>
      </c>
    </row>
    <row r="31">
      <c r="A31" s="9" t="inlineStr"/>
      <c r="B31" s="9" t="inlineStr"/>
      <c r="C31" s="9" t="inlineStr"/>
      <c r="D31" s="9" t="inlineStr"/>
      <c r="E31" s="9" t="inlineStr"/>
      <c r="F31" s="10" t="n"/>
      <c r="G31" s="10" t="n"/>
      <c r="H31" s="11" t="n"/>
      <c r="I31" s="9" t="inlineStr"/>
      <c r="J31" s="9" t="inlineStr"/>
      <c r="K31" s="9" t="inlineStr"/>
      <c r="L31" s="9" t="inlineStr"/>
      <c r="M31" s="11" t="n"/>
      <c r="N31" s="11" t="n"/>
      <c r="O31" s="10" t="n"/>
      <c r="P31" s="6">
        <f>IF($A31="","",COUNTIFS(Docs!$A$2:$A$201,$A31,Docs!$C$2:$C$201,"Y",Docs!$D$2:$D$201,"Y")&amp;"/"&amp;COUNTIFS(Docs!$A$2:$A$201,$A31,Docs!$C$2:$C$201,"Y"))</f>
        <v/>
      </c>
      <c r="Q31" s="6">
        <f>IF($A31="","",IF(COUNTIFS(Docs!$A$2:$A$201,$A31,Docs!$C$2:$C$201,"Y",Docs!$D$2:$D$201,"N")&gt;0,"MISSING","OK"))</f>
        <v/>
      </c>
      <c r="R31" s="7">
        <f>IF(AND($A31&lt;&gt;"",ISNUMBER($H31)),$H31-TODAY(),"")</f>
        <v/>
      </c>
      <c r="S31" s="6">
        <f>IF($A31="","",IF(OR($I31="Awarded",$I31="Declined",$I31="Withdrawn"),"CLOSED",IF(NOT(ISNUMBER($H31)),"NO DEADLINE SET",IF($H31&lt;TODAY(),"OVERDUE "&amp;TODAY()-$H31&amp;" DAYS",IF($H31-TODAY()&lt;=14,"DUE IN "&amp;$H31-TODAY()&amp;" DAYS","OPEN")))))</f>
        <v/>
      </c>
      <c r="T31" s="6">
        <f>IF($A31="","",IF(COUNTIFS($B$2:$B$41,$B31,$C$2:$C$41,$C31)&gt;1,"DUPLICATE OF ANOTHER ROW",""))</f>
        <v/>
      </c>
      <c r="U31" s="6">
        <f>IF($A31="","",IF($B31="","No funder name. ","")&amp;IF(AND(ISNUMBER($F31),ISNUMBER($G31),$G31&lt;$F31),"Award max is below award min. ","")&amp;IF(AND($I31="Submitted",NOT(ISNUMBER($M31))),"Status is Submitted but there is no submitted date. ","")&amp;IF(AND($I31="Awarded",NOT(ISNUMBER($O31))),"Status is Awarded but there is no awarded amount. ","")&amp;IF(AND($I31&lt;&gt;"Research",$I31&lt;&gt;"",NOT(ISNUMBER($H31))),"There is no deadline date. ","")&amp;IF(AND(ISNUMBER($O31),ISNUMBER($G31),$O31&gt;$G31),"Awarded amount is above the award max you recorded. ",""))</f>
        <v/>
      </c>
      <c r="V31" s="8">
        <f>IF(AND($A31&lt;&gt;"",ISNUMBER($H31),$I31&lt;&gt;"Awarded",$I31&lt;&gt;"Declined",$I31&lt;&gt;"Withdrawn"),$H31,"")</f>
        <v/>
      </c>
    </row>
    <row r="32">
      <c r="A32" s="9" t="inlineStr"/>
      <c r="B32" s="9" t="inlineStr"/>
      <c r="C32" s="9" t="inlineStr"/>
      <c r="D32" s="9" t="inlineStr"/>
      <c r="E32" s="9" t="inlineStr"/>
      <c r="F32" s="10" t="n"/>
      <c r="G32" s="10" t="n"/>
      <c r="H32" s="11" t="n"/>
      <c r="I32" s="9" t="inlineStr"/>
      <c r="J32" s="9" t="inlineStr"/>
      <c r="K32" s="9" t="inlineStr"/>
      <c r="L32" s="9" t="inlineStr"/>
      <c r="M32" s="11" t="n"/>
      <c r="N32" s="11" t="n"/>
      <c r="O32" s="10" t="n"/>
      <c r="P32" s="6">
        <f>IF($A32="","",COUNTIFS(Docs!$A$2:$A$201,$A32,Docs!$C$2:$C$201,"Y",Docs!$D$2:$D$201,"Y")&amp;"/"&amp;COUNTIFS(Docs!$A$2:$A$201,$A32,Docs!$C$2:$C$201,"Y"))</f>
        <v/>
      </c>
      <c r="Q32" s="6">
        <f>IF($A32="","",IF(COUNTIFS(Docs!$A$2:$A$201,$A32,Docs!$C$2:$C$201,"Y",Docs!$D$2:$D$201,"N")&gt;0,"MISSING","OK"))</f>
        <v/>
      </c>
      <c r="R32" s="7">
        <f>IF(AND($A32&lt;&gt;"",ISNUMBER($H32)),$H32-TODAY(),"")</f>
        <v/>
      </c>
      <c r="S32" s="6">
        <f>IF($A32="","",IF(OR($I32="Awarded",$I32="Declined",$I32="Withdrawn"),"CLOSED",IF(NOT(ISNUMBER($H32)),"NO DEADLINE SET",IF($H32&lt;TODAY(),"OVERDUE "&amp;TODAY()-$H32&amp;" DAYS",IF($H32-TODAY()&lt;=14,"DUE IN "&amp;$H32-TODAY()&amp;" DAYS","OPEN")))))</f>
        <v/>
      </c>
      <c r="T32" s="6">
        <f>IF($A32="","",IF(COUNTIFS($B$2:$B$41,$B32,$C$2:$C$41,$C32)&gt;1,"DUPLICATE OF ANOTHER ROW",""))</f>
        <v/>
      </c>
      <c r="U32" s="6">
        <f>IF($A32="","",IF($B32="","No funder name. ","")&amp;IF(AND(ISNUMBER($F32),ISNUMBER($G32),$G32&lt;$F32),"Award max is below award min. ","")&amp;IF(AND($I32="Submitted",NOT(ISNUMBER($M32))),"Status is Submitted but there is no submitted date. ","")&amp;IF(AND($I32="Awarded",NOT(ISNUMBER($O32))),"Status is Awarded but there is no awarded amount. ","")&amp;IF(AND($I32&lt;&gt;"Research",$I32&lt;&gt;"",NOT(ISNUMBER($H32))),"There is no deadline date. ","")&amp;IF(AND(ISNUMBER($O32),ISNUMBER($G32),$O32&gt;$G32),"Awarded amount is above the award max you recorded. ",""))</f>
        <v/>
      </c>
      <c r="V32" s="8">
        <f>IF(AND($A32&lt;&gt;"",ISNUMBER($H32),$I32&lt;&gt;"Awarded",$I32&lt;&gt;"Declined",$I32&lt;&gt;"Withdrawn"),$H32,"")</f>
        <v/>
      </c>
    </row>
    <row r="33">
      <c r="A33" s="9" t="inlineStr"/>
      <c r="B33" s="9" t="inlineStr"/>
      <c r="C33" s="9" t="inlineStr"/>
      <c r="D33" s="9" t="inlineStr"/>
      <c r="E33" s="9" t="inlineStr"/>
      <c r="F33" s="10" t="n"/>
      <c r="G33" s="10" t="n"/>
      <c r="H33" s="11" t="n"/>
      <c r="I33" s="9" t="inlineStr"/>
      <c r="J33" s="9" t="inlineStr"/>
      <c r="K33" s="9" t="inlineStr"/>
      <c r="L33" s="9" t="inlineStr"/>
      <c r="M33" s="11" t="n"/>
      <c r="N33" s="11" t="n"/>
      <c r="O33" s="10" t="n"/>
      <c r="P33" s="6">
        <f>IF($A33="","",COUNTIFS(Docs!$A$2:$A$201,$A33,Docs!$C$2:$C$201,"Y",Docs!$D$2:$D$201,"Y")&amp;"/"&amp;COUNTIFS(Docs!$A$2:$A$201,$A33,Docs!$C$2:$C$201,"Y"))</f>
        <v/>
      </c>
      <c r="Q33" s="6">
        <f>IF($A33="","",IF(COUNTIFS(Docs!$A$2:$A$201,$A33,Docs!$C$2:$C$201,"Y",Docs!$D$2:$D$201,"N")&gt;0,"MISSING","OK"))</f>
        <v/>
      </c>
      <c r="R33" s="7">
        <f>IF(AND($A33&lt;&gt;"",ISNUMBER($H33)),$H33-TODAY(),"")</f>
        <v/>
      </c>
      <c r="S33" s="6">
        <f>IF($A33="","",IF(OR($I33="Awarded",$I33="Declined",$I33="Withdrawn"),"CLOSED",IF(NOT(ISNUMBER($H33)),"NO DEADLINE SET",IF($H33&lt;TODAY(),"OVERDUE "&amp;TODAY()-$H33&amp;" DAYS",IF($H33-TODAY()&lt;=14,"DUE IN "&amp;$H33-TODAY()&amp;" DAYS","OPEN")))))</f>
        <v/>
      </c>
      <c r="T33" s="6">
        <f>IF($A33="","",IF(COUNTIFS($B$2:$B$41,$B33,$C$2:$C$41,$C33)&gt;1,"DUPLICATE OF ANOTHER ROW",""))</f>
        <v/>
      </c>
      <c r="U33" s="6">
        <f>IF($A33="","",IF($B33="","No funder name. ","")&amp;IF(AND(ISNUMBER($F33),ISNUMBER($G33),$G33&lt;$F33),"Award max is below award min. ","")&amp;IF(AND($I33="Submitted",NOT(ISNUMBER($M33))),"Status is Submitted but there is no submitted date. ","")&amp;IF(AND($I33="Awarded",NOT(ISNUMBER($O33))),"Status is Awarded but there is no awarded amount. ","")&amp;IF(AND($I33&lt;&gt;"Research",$I33&lt;&gt;"",NOT(ISNUMBER($H33))),"There is no deadline date. ","")&amp;IF(AND(ISNUMBER($O33),ISNUMBER($G33),$O33&gt;$G33),"Awarded amount is above the award max you recorded. ",""))</f>
        <v/>
      </c>
      <c r="V33" s="8">
        <f>IF(AND($A33&lt;&gt;"",ISNUMBER($H33),$I33&lt;&gt;"Awarded",$I33&lt;&gt;"Declined",$I33&lt;&gt;"Withdrawn"),$H33,"")</f>
        <v/>
      </c>
    </row>
    <row r="34">
      <c r="A34" s="9" t="inlineStr"/>
      <c r="B34" s="9" t="inlineStr"/>
      <c r="C34" s="9" t="inlineStr"/>
      <c r="D34" s="9" t="inlineStr"/>
      <c r="E34" s="9" t="inlineStr"/>
      <c r="F34" s="10" t="n"/>
      <c r="G34" s="10" t="n"/>
      <c r="H34" s="11" t="n"/>
      <c r="I34" s="9" t="inlineStr"/>
      <c r="J34" s="9" t="inlineStr"/>
      <c r="K34" s="9" t="inlineStr"/>
      <c r="L34" s="9" t="inlineStr"/>
      <c r="M34" s="11" t="n"/>
      <c r="N34" s="11" t="n"/>
      <c r="O34" s="10" t="n"/>
      <c r="P34" s="6">
        <f>IF($A34="","",COUNTIFS(Docs!$A$2:$A$201,$A34,Docs!$C$2:$C$201,"Y",Docs!$D$2:$D$201,"Y")&amp;"/"&amp;COUNTIFS(Docs!$A$2:$A$201,$A34,Docs!$C$2:$C$201,"Y"))</f>
        <v/>
      </c>
      <c r="Q34" s="6">
        <f>IF($A34="","",IF(COUNTIFS(Docs!$A$2:$A$201,$A34,Docs!$C$2:$C$201,"Y",Docs!$D$2:$D$201,"N")&gt;0,"MISSING","OK"))</f>
        <v/>
      </c>
      <c r="R34" s="7">
        <f>IF(AND($A34&lt;&gt;"",ISNUMBER($H34)),$H34-TODAY(),"")</f>
        <v/>
      </c>
      <c r="S34" s="6">
        <f>IF($A34="","",IF(OR($I34="Awarded",$I34="Declined",$I34="Withdrawn"),"CLOSED",IF(NOT(ISNUMBER($H34)),"NO DEADLINE SET",IF($H34&lt;TODAY(),"OVERDUE "&amp;TODAY()-$H34&amp;" DAYS",IF($H34-TODAY()&lt;=14,"DUE IN "&amp;$H34-TODAY()&amp;" DAYS","OPEN")))))</f>
        <v/>
      </c>
      <c r="T34" s="6">
        <f>IF($A34="","",IF(COUNTIFS($B$2:$B$41,$B34,$C$2:$C$41,$C34)&gt;1,"DUPLICATE OF ANOTHER ROW",""))</f>
        <v/>
      </c>
      <c r="U34" s="6">
        <f>IF($A34="","",IF($B34="","No funder name. ","")&amp;IF(AND(ISNUMBER($F34),ISNUMBER($G34),$G34&lt;$F34),"Award max is below award min. ","")&amp;IF(AND($I34="Submitted",NOT(ISNUMBER($M34))),"Status is Submitted but there is no submitted date. ","")&amp;IF(AND($I34="Awarded",NOT(ISNUMBER($O34))),"Status is Awarded but there is no awarded amount. ","")&amp;IF(AND($I34&lt;&gt;"Research",$I34&lt;&gt;"",NOT(ISNUMBER($H34))),"There is no deadline date. ","")&amp;IF(AND(ISNUMBER($O34),ISNUMBER($G34),$O34&gt;$G34),"Awarded amount is above the award max you recorded. ",""))</f>
        <v/>
      </c>
      <c r="V34" s="8">
        <f>IF(AND($A34&lt;&gt;"",ISNUMBER($H34),$I34&lt;&gt;"Awarded",$I34&lt;&gt;"Declined",$I34&lt;&gt;"Withdrawn"),$H34,"")</f>
        <v/>
      </c>
    </row>
    <row r="35">
      <c r="A35" s="9" t="inlineStr"/>
      <c r="B35" s="9" t="inlineStr"/>
      <c r="C35" s="9" t="inlineStr"/>
      <c r="D35" s="9" t="inlineStr"/>
      <c r="E35" s="9" t="inlineStr"/>
      <c r="F35" s="10" t="n"/>
      <c r="G35" s="10" t="n"/>
      <c r="H35" s="11" t="n"/>
      <c r="I35" s="9" t="inlineStr"/>
      <c r="J35" s="9" t="inlineStr"/>
      <c r="K35" s="9" t="inlineStr"/>
      <c r="L35" s="9" t="inlineStr"/>
      <c r="M35" s="11" t="n"/>
      <c r="N35" s="11" t="n"/>
      <c r="O35" s="10" t="n"/>
      <c r="P35" s="6">
        <f>IF($A35="","",COUNTIFS(Docs!$A$2:$A$201,$A35,Docs!$C$2:$C$201,"Y",Docs!$D$2:$D$201,"Y")&amp;"/"&amp;COUNTIFS(Docs!$A$2:$A$201,$A35,Docs!$C$2:$C$201,"Y"))</f>
        <v/>
      </c>
      <c r="Q35" s="6">
        <f>IF($A35="","",IF(COUNTIFS(Docs!$A$2:$A$201,$A35,Docs!$C$2:$C$201,"Y",Docs!$D$2:$D$201,"N")&gt;0,"MISSING","OK"))</f>
        <v/>
      </c>
      <c r="R35" s="7">
        <f>IF(AND($A35&lt;&gt;"",ISNUMBER($H35)),$H35-TODAY(),"")</f>
        <v/>
      </c>
      <c r="S35" s="6">
        <f>IF($A35="","",IF(OR($I35="Awarded",$I35="Declined",$I35="Withdrawn"),"CLOSED",IF(NOT(ISNUMBER($H35)),"NO DEADLINE SET",IF($H35&lt;TODAY(),"OVERDUE "&amp;TODAY()-$H35&amp;" DAYS",IF($H35-TODAY()&lt;=14,"DUE IN "&amp;$H35-TODAY()&amp;" DAYS","OPEN")))))</f>
        <v/>
      </c>
      <c r="T35" s="6">
        <f>IF($A35="","",IF(COUNTIFS($B$2:$B$41,$B35,$C$2:$C$41,$C35)&gt;1,"DUPLICATE OF ANOTHER ROW",""))</f>
        <v/>
      </c>
      <c r="U35" s="6">
        <f>IF($A35="","",IF($B35="","No funder name. ","")&amp;IF(AND(ISNUMBER($F35),ISNUMBER($G35),$G35&lt;$F35),"Award max is below award min. ","")&amp;IF(AND($I35="Submitted",NOT(ISNUMBER($M35))),"Status is Submitted but there is no submitted date. ","")&amp;IF(AND($I35="Awarded",NOT(ISNUMBER($O35))),"Status is Awarded but there is no awarded amount. ","")&amp;IF(AND($I35&lt;&gt;"Research",$I35&lt;&gt;"",NOT(ISNUMBER($H35))),"There is no deadline date. ","")&amp;IF(AND(ISNUMBER($O35),ISNUMBER($G35),$O35&gt;$G35),"Awarded amount is above the award max you recorded. ",""))</f>
        <v/>
      </c>
      <c r="V35" s="8">
        <f>IF(AND($A35&lt;&gt;"",ISNUMBER($H35),$I35&lt;&gt;"Awarded",$I35&lt;&gt;"Declined",$I35&lt;&gt;"Withdrawn"),$H35,"")</f>
        <v/>
      </c>
    </row>
    <row r="36">
      <c r="A36" s="9" t="inlineStr"/>
      <c r="B36" s="9" t="inlineStr"/>
      <c r="C36" s="9" t="inlineStr"/>
      <c r="D36" s="9" t="inlineStr"/>
      <c r="E36" s="9" t="inlineStr"/>
      <c r="F36" s="10" t="n"/>
      <c r="G36" s="10" t="n"/>
      <c r="H36" s="11" t="n"/>
      <c r="I36" s="9" t="inlineStr"/>
      <c r="J36" s="9" t="inlineStr"/>
      <c r="K36" s="9" t="inlineStr"/>
      <c r="L36" s="9" t="inlineStr"/>
      <c r="M36" s="11" t="n"/>
      <c r="N36" s="11" t="n"/>
      <c r="O36" s="10" t="n"/>
      <c r="P36" s="6">
        <f>IF($A36="","",COUNTIFS(Docs!$A$2:$A$201,$A36,Docs!$C$2:$C$201,"Y",Docs!$D$2:$D$201,"Y")&amp;"/"&amp;COUNTIFS(Docs!$A$2:$A$201,$A36,Docs!$C$2:$C$201,"Y"))</f>
        <v/>
      </c>
      <c r="Q36" s="6">
        <f>IF($A36="","",IF(COUNTIFS(Docs!$A$2:$A$201,$A36,Docs!$C$2:$C$201,"Y",Docs!$D$2:$D$201,"N")&gt;0,"MISSING","OK"))</f>
        <v/>
      </c>
      <c r="R36" s="7">
        <f>IF(AND($A36&lt;&gt;"",ISNUMBER($H36)),$H36-TODAY(),"")</f>
        <v/>
      </c>
      <c r="S36" s="6">
        <f>IF($A36="","",IF(OR($I36="Awarded",$I36="Declined",$I36="Withdrawn"),"CLOSED",IF(NOT(ISNUMBER($H36)),"NO DEADLINE SET",IF($H36&lt;TODAY(),"OVERDUE "&amp;TODAY()-$H36&amp;" DAYS",IF($H36-TODAY()&lt;=14,"DUE IN "&amp;$H36-TODAY()&amp;" DAYS","OPEN")))))</f>
        <v/>
      </c>
      <c r="T36" s="6">
        <f>IF($A36="","",IF(COUNTIFS($B$2:$B$41,$B36,$C$2:$C$41,$C36)&gt;1,"DUPLICATE OF ANOTHER ROW",""))</f>
        <v/>
      </c>
      <c r="U36" s="6">
        <f>IF($A36="","",IF($B36="","No funder name. ","")&amp;IF(AND(ISNUMBER($F36),ISNUMBER($G36),$G36&lt;$F36),"Award max is below award min. ","")&amp;IF(AND($I36="Submitted",NOT(ISNUMBER($M36))),"Status is Submitted but there is no submitted date. ","")&amp;IF(AND($I36="Awarded",NOT(ISNUMBER($O36))),"Status is Awarded but there is no awarded amount. ","")&amp;IF(AND($I36&lt;&gt;"Research",$I36&lt;&gt;"",NOT(ISNUMBER($H36))),"There is no deadline date. ","")&amp;IF(AND(ISNUMBER($O36),ISNUMBER($G36),$O36&gt;$G36),"Awarded amount is above the award max you recorded. ",""))</f>
        <v/>
      </c>
      <c r="V36" s="8">
        <f>IF(AND($A36&lt;&gt;"",ISNUMBER($H36),$I36&lt;&gt;"Awarded",$I36&lt;&gt;"Declined",$I36&lt;&gt;"Withdrawn"),$H36,"")</f>
        <v/>
      </c>
    </row>
    <row r="37">
      <c r="A37" s="9" t="inlineStr"/>
      <c r="B37" s="9" t="inlineStr"/>
      <c r="C37" s="9" t="inlineStr"/>
      <c r="D37" s="9" t="inlineStr"/>
      <c r="E37" s="9" t="inlineStr"/>
      <c r="F37" s="10" t="n"/>
      <c r="G37" s="10" t="n"/>
      <c r="H37" s="11" t="n"/>
      <c r="I37" s="9" t="inlineStr"/>
      <c r="J37" s="9" t="inlineStr"/>
      <c r="K37" s="9" t="inlineStr"/>
      <c r="L37" s="9" t="inlineStr"/>
      <c r="M37" s="11" t="n"/>
      <c r="N37" s="11" t="n"/>
      <c r="O37" s="10" t="n"/>
      <c r="P37" s="6">
        <f>IF($A37="","",COUNTIFS(Docs!$A$2:$A$201,$A37,Docs!$C$2:$C$201,"Y",Docs!$D$2:$D$201,"Y")&amp;"/"&amp;COUNTIFS(Docs!$A$2:$A$201,$A37,Docs!$C$2:$C$201,"Y"))</f>
        <v/>
      </c>
      <c r="Q37" s="6">
        <f>IF($A37="","",IF(COUNTIFS(Docs!$A$2:$A$201,$A37,Docs!$C$2:$C$201,"Y",Docs!$D$2:$D$201,"N")&gt;0,"MISSING","OK"))</f>
        <v/>
      </c>
      <c r="R37" s="7">
        <f>IF(AND($A37&lt;&gt;"",ISNUMBER($H37)),$H37-TODAY(),"")</f>
        <v/>
      </c>
      <c r="S37" s="6">
        <f>IF($A37="","",IF(OR($I37="Awarded",$I37="Declined",$I37="Withdrawn"),"CLOSED",IF(NOT(ISNUMBER($H37)),"NO DEADLINE SET",IF($H37&lt;TODAY(),"OVERDUE "&amp;TODAY()-$H37&amp;" DAYS",IF($H37-TODAY()&lt;=14,"DUE IN "&amp;$H37-TODAY()&amp;" DAYS","OPEN")))))</f>
        <v/>
      </c>
      <c r="T37" s="6">
        <f>IF($A37="","",IF(COUNTIFS($B$2:$B$41,$B37,$C$2:$C$41,$C37)&gt;1,"DUPLICATE OF ANOTHER ROW",""))</f>
        <v/>
      </c>
      <c r="U37" s="6">
        <f>IF($A37="","",IF($B37="","No funder name. ","")&amp;IF(AND(ISNUMBER($F37),ISNUMBER($G37),$G37&lt;$F37),"Award max is below award min. ","")&amp;IF(AND($I37="Submitted",NOT(ISNUMBER($M37))),"Status is Submitted but there is no submitted date. ","")&amp;IF(AND($I37="Awarded",NOT(ISNUMBER($O37))),"Status is Awarded but there is no awarded amount. ","")&amp;IF(AND($I37&lt;&gt;"Research",$I37&lt;&gt;"",NOT(ISNUMBER($H37))),"There is no deadline date. ","")&amp;IF(AND(ISNUMBER($O37),ISNUMBER($G37),$O37&gt;$G37),"Awarded amount is above the award max you recorded. ",""))</f>
        <v/>
      </c>
      <c r="V37" s="8">
        <f>IF(AND($A37&lt;&gt;"",ISNUMBER($H37),$I37&lt;&gt;"Awarded",$I37&lt;&gt;"Declined",$I37&lt;&gt;"Withdrawn"),$H37,"")</f>
        <v/>
      </c>
    </row>
    <row r="38">
      <c r="A38" s="9" t="inlineStr"/>
      <c r="B38" s="9" t="inlineStr"/>
      <c r="C38" s="9" t="inlineStr"/>
      <c r="D38" s="9" t="inlineStr"/>
      <c r="E38" s="9" t="inlineStr"/>
      <c r="F38" s="10" t="n"/>
      <c r="G38" s="10" t="n"/>
      <c r="H38" s="11" t="n"/>
      <c r="I38" s="9" t="inlineStr"/>
      <c r="J38" s="9" t="inlineStr"/>
      <c r="K38" s="9" t="inlineStr"/>
      <c r="L38" s="9" t="inlineStr"/>
      <c r="M38" s="11" t="n"/>
      <c r="N38" s="11" t="n"/>
      <c r="O38" s="10" t="n"/>
      <c r="P38" s="6">
        <f>IF($A38="","",COUNTIFS(Docs!$A$2:$A$201,$A38,Docs!$C$2:$C$201,"Y",Docs!$D$2:$D$201,"Y")&amp;"/"&amp;COUNTIFS(Docs!$A$2:$A$201,$A38,Docs!$C$2:$C$201,"Y"))</f>
        <v/>
      </c>
      <c r="Q38" s="6">
        <f>IF($A38="","",IF(COUNTIFS(Docs!$A$2:$A$201,$A38,Docs!$C$2:$C$201,"Y",Docs!$D$2:$D$201,"N")&gt;0,"MISSING","OK"))</f>
        <v/>
      </c>
      <c r="R38" s="7">
        <f>IF(AND($A38&lt;&gt;"",ISNUMBER($H38)),$H38-TODAY(),"")</f>
        <v/>
      </c>
      <c r="S38" s="6">
        <f>IF($A38="","",IF(OR($I38="Awarded",$I38="Declined",$I38="Withdrawn"),"CLOSED",IF(NOT(ISNUMBER($H38)),"NO DEADLINE SET",IF($H38&lt;TODAY(),"OVERDUE "&amp;TODAY()-$H38&amp;" DAYS",IF($H38-TODAY()&lt;=14,"DUE IN "&amp;$H38-TODAY()&amp;" DAYS","OPEN")))))</f>
        <v/>
      </c>
      <c r="T38" s="6">
        <f>IF($A38="","",IF(COUNTIFS($B$2:$B$41,$B38,$C$2:$C$41,$C38)&gt;1,"DUPLICATE OF ANOTHER ROW",""))</f>
        <v/>
      </c>
      <c r="U38" s="6">
        <f>IF($A38="","",IF($B38="","No funder name. ","")&amp;IF(AND(ISNUMBER($F38),ISNUMBER($G38),$G38&lt;$F38),"Award max is below award min. ","")&amp;IF(AND($I38="Submitted",NOT(ISNUMBER($M38))),"Status is Submitted but there is no submitted date. ","")&amp;IF(AND($I38="Awarded",NOT(ISNUMBER($O38))),"Status is Awarded but there is no awarded amount. ","")&amp;IF(AND($I38&lt;&gt;"Research",$I38&lt;&gt;"",NOT(ISNUMBER($H38))),"There is no deadline date. ","")&amp;IF(AND(ISNUMBER($O38),ISNUMBER($G38),$O38&gt;$G38),"Awarded amount is above the award max you recorded. ",""))</f>
        <v/>
      </c>
      <c r="V38" s="8">
        <f>IF(AND($A38&lt;&gt;"",ISNUMBER($H38),$I38&lt;&gt;"Awarded",$I38&lt;&gt;"Declined",$I38&lt;&gt;"Withdrawn"),$H38,"")</f>
        <v/>
      </c>
    </row>
    <row r="39">
      <c r="A39" s="9" t="inlineStr"/>
      <c r="B39" s="9" t="inlineStr"/>
      <c r="C39" s="9" t="inlineStr"/>
      <c r="D39" s="9" t="inlineStr"/>
      <c r="E39" s="9" t="inlineStr"/>
      <c r="F39" s="10" t="n"/>
      <c r="G39" s="10" t="n"/>
      <c r="H39" s="11" t="n"/>
      <c r="I39" s="9" t="inlineStr"/>
      <c r="J39" s="9" t="inlineStr"/>
      <c r="K39" s="9" t="inlineStr"/>
      <c r="L39" s="9" t="inlineStr"/>
      <c r="M39" s="11" t="n"/>
      <c r="N39" s="11" t="n"/>
      <c r="O39" s="10" t="n"/>
      <c r="P39" s="6">
        <f>IF($A39="","",COUNTIFS(Docs!$A$2:$A$201,$A39,Docs!$C$2:$C$201,"Y",Docs!$D$2:$D$201,"Y")&amp;"/"&amp;COUNTIFS(Docs!$A$2:$A$201,$A39,Docs!$C$2:$C$201,"Y"))</f>
        <v/>
      </c>
      <c r="Q39" s="6">
        <f>IF($A39="","",IF(COUNTIFS(Docs!$A$2:$A$201,$A39,Docs!$C$2:$C$201,"Y",Docs!$D$2:$D$201,"N")&gt;0,"MISSING","OK"))</f>
        <v/>
      </c>
      <c r="R39" s="7">
        <f>IF(AND($A39&lt;&gt;"",ISNUMBER($H39)),$H39-TODAY(),"")</f>
        <v/>
      </c>
      <c r="S39" s="6">
        <f>IF($A39="","",IF(OR($I39="Awarded",$I39="Declined",$I39="Withdrawn"),"CLOSED",IF(NOT(ISNUMBER($H39)),"NO DEADLINE SET",IF($H39&lt;TODAY(),"OVERDUE "&amp;TODAY()-$H39&amp;" DAYS",IF($H39-TODAY()&lt;=14,"DUE IN "&amp;$H39-TODAY()&amp;" DAYS","OPEN")))))</f>
        <v/>
      </c>
      <c r="T39" s="6">
        <f>IF($A39="","",IF(COUNTIFS($B$2:$B$41,$B39,$C$2:$C$41,$C39)&gt;1,"DUPLICATE OF ANOTHER ROW",""))</f>
        <v/>
      </c>
      <c r="U39" s="6">
        <f>IF($A39="","",IF($B39="","No funder name. ","")&amp;IF(AND(ISNUMBER($F39),ISNUMBER($G39),$G39&lt;$F39),"Award max is below award min. ","")&amp;IF(AND($I39="Submitted",NOT(ISNUMBER($M39))),"Status is Submitted but there is no submitted date. ","")&amp;IF(AND($I39="Awarded",NOT(ISNUMBER($O39))),"Status is Awarded but there is no awarded amount. ","")&amp;IF(AND($I39&lt;&gt;"Research",$I39&lt;&gt;"",NOT(ISNUMBER($H39))),"There is no deadline date. ","")&amp;IF(AND(ISNUMBER($O39),ISNUMBER($G39),$O39&gt;$G39),"Awarded amount is above the award max you recorded. ",""))</f>
        <v/>
      </c>
      <c r="V39" s="8">
        <f>IF(AND($A39&lt;&gt;"",ISNUMBER($H39),$I39&lt;&gt;"Awarded",$I39&lt;&gt;"Declined",$I39&lt;&gt;"Withdrawn"),$H39,"")</f>
        <v/>
      </c>
    </row>
    <row r="40">
      <c r="A40" s="9" t="inlineStr"/>
      <c r="B40" s="9" t="inlineStr"/>
      <c r="C40" s="9" t="inlineStr"/>
      <c r="D40" s="9" t="inlineStr"/>
      <c r="E40" s="9" t="inlineStr"/>
      <c r="F40" s="10" t="n"/>
      <c r="G40" s="10" t="n"/>
      <c r="H40" s="11" t="n"/>
      <c r="I40" s="9" t="inlineStr"/>
      <c r="J40" s="9" t="inlineStr"/>
      <c r="K40" s="9" t="inlineStr"/>
      <c r="L40" s="9" t="inlineStr"/>
      <c r="M40" s="11" t="n"/>
      <c r="N40" s="11" t="n"/>
      <c r="O40" s="10" t="n"/>
      <c r="P40" s="6">
        <f>IF($A40="","",COUNTIFS(Docs!$A$2:$A$201,$A40,Docs!$C$2:$C$201,"Y",Docs!$D$2:$D$201,"Y")&amp;"/"&amp;COUNTIFS(Docs!$A$2:$A$201,$A40,Docs!$C$2:$C$201,"Y"))</f>
        <v/>
      </c>
      <c r="Q40" s="6">
        <f>IF($A40="","",IF(COUNTIFS(Docs!$A$2:$A$201,$A40,Docs!$C$2:$C$201,"Y",Docs!$D$2:$D$201,"N")&gt;0,"MISSING","OK"))</f>
        <v/>
      </c>
      <c r="R40" s="7">
        <f>IF(AND($A40&lt;&gt;"",ISNUMBER($H40)),$H40-TODAY(),"")</f>
        <v/>
      </c>
      <c r="S40" s="6">
        <f>IF($A40="","",IF(OR($I40="Awarded",$I40="Declined",$I40="Withdrawn"),"CLOSED",IF(NOT(ISNUMBER($H40)),"NO DEADLINE SET",IF($H40&lt;TODAY(),"OVERDUE "&amp;TODAY()-$H40&amp;" DAYS",IF($H40-TODAY()&lt;=14,"DUE IN "&amp;$H40-TODAY()&amp;" DAYS","OPEN")))))</f>
        <v/>
      </c>
      <c r="T40" s="6">
        <f>IF($A40="","",IF(COUNTIFS($B$2:$B$41,$B40,$C$2:$C$41,$C40)&gt;1,"DUPLICATE OF ANOTHER ROW",""))</f>
        <v/>
      </c>
      <c r="U40" s="6">
        <f>IF($A40="","",IF($B40="","No funder name. ","")&amp;IF(AND(ISNUMBER($F40),ISNUMBER($G40),$G40&lt;$F40),"Award max is below award min. ","")&amp;IF(AND($I40="Submitted",NOT(ISNUMBER($M40))),"Status is Submitted but there is no submitted date. ","")&amp;IF(AND($I40="Awarded",NOT(ISNUMBER($O40))),"Status is Awarded but there is no awarded amount. ","")&amp;IF(AND($I40&lt;&gt;"Research",$I40&lt;&gt;"",NOT(ISNUMBER($H40))),"There is no deadline date. ","")&amp;IF(AND(ISNUMBER($O40),ISNUMBER($G40),$O40&gt;$G40),"Awarded amount is above the award max you recorded. ",""))</f>
        <v/>
      </c>
      <c r="V40" s="8">
        <f>IF(AND($A40&lt;&gt;"",ISNUMBER($H40),$I40&lt;&gt;"Awarded",$I40&lt;&gt;"Declined",$I40&lt;&gt;"Withdrawn"),$H40,"")</f>
        <v/>
      </c>
    </row>
    <row r="41">
      <c r="A41" s="9" t="inlineStr"/>
      <c r="B41" s="9" t="inlineStr"/>
      <c r="C41" s="9" t="inlineStr"/>
      <c r="D41" s="9" t="inlineStr"/>
      <c r="E41" s="9" t="inlineStr"/>
      <c r="F41" s="10" t="n"/>
      <c r="G41" s="10" t="n"/>
      <c r="H41" s="11" t="n"/>
      <c r="I41" s="9" t="inlineStr"/>
      <c r="J41" s="9" t="inlineStr"/>
      <c r="K41" s="9" t="inlineStr"/>
      <c r="L41" s="9" t="inlineStr"/>
      <c r="M41" s="11" t="n"/>
      <c r="N41" s="11" t="n"/>
      <c r="O41" s="10" t="n"/>
      <c r="P41" s="6">
        <f>IF($A41="","",COUNTIFS(Docs!$A$2:$A$201,$A41,Docs!$C$2:$C$201,"Y",Docs!$D$2:$D$201,"Y")&amp;"/"&amp;COUNTIFS(Docs!$A$2:$A$201,$A41,Docs!$C$2:$C$201,"Y"))</f>
        <v/>
      </c>
      <c r="Q41" s="6">
        <f>IF($A41="","",IF(COUNTIFS(Docs!$A$2:$A$201,$A41,Docs!$C$2:$C$201,"Y",Docs!$D$2:$D$201,"N")&gt;0,"MISSING","OK"))</f>
        <v/>
      </c>
      <c r="R41" s="7">
        <f>IF(AND($A41&lt;&gt;"",ISNUMBER($H41)),$H41-TODAY(),"")</f>
        <v/>
      </c>
      <c r="S41" s="6">
        <f>IF($A41="","",IF(OR($I41="Awarded",$I41="Declined",$I41="Withdrawn"),"CLOSED",IF(NOT(ISNUMBER($H41)),"NO DEADLINE SET",IF($H41&lt;TODAY(),"OVERDUE "&amp;TODAY()-$H41&amp;" DAYS",IF($H41-TODAY()&lt;=14,"DUE IN "&amp;$H41-TODAY()&amp;" DAYS","OPEN")))))</f>
        <v/>
      </c>
      <c r="T41" s="6">
        <f>IF($A41="","",IF(COUNTIFS($B$2:$B$41,$B41,$C$2:$C$41,$C41)&gt;1,"DUPLICATE OF ANOTHER ROW",""))</f>
        <v/>
      </c>
      <c r="U41" s="6">
        <f>IF($A41="","",IF($B41="","No funder name. ","")&amp;IF(AND(ISNUMBER($F41),ISNUMBER($G41),$G41&lt;$F41),"Award max is below award min. ","")&amp;IF(AND($I41="Submitted",NOT(ISNUMBER($M41))),"Status is Submitted but there is no submitted date. ","")&amp;IF(AND($I41="Awarded",NOT(ISNUMBER($O41))),"Status is Awarded but there is no awarded amount. ","")&amp;IF(AND($I41&lt;&gt;"Research",$I41&lt;&gt;"",NOT(ISNUMBER($H41))),"There is no deadline date. ","")&amp;IF(AND(ISNUMBER($O41),ISNUMBER($G41),$O41&gt;$G41),"Awarded amount is above the award max you recorded. ",""))</f>
        <v/>
      </c>
      <c r="V41" s="8">
        <f>IF(AND($A41&lt;&gt;"",ISNUMBER($H41),$I41&lt;&gt;"Awarded",$I41&lt;&gt;"Declined",$I41&lt;&gt;"Withdrawn"),$H41,"")</f>
        <v/>
      </c>
    </row>
  </sheetData>
  <dataValidations count="6">
    <dataValidation sqref="I2:I41" showDropDown="0" showInputMessage="1" showErrorMessage="1" allowBlank="1" errorTitle="Status" error="Pick a status from the list: Research, Eligibility, Drafting, Internal review, Submitted, Awarded, Declined or Withdrawn." type="list">
      <formula1>"Research,Eligibility,Drafting,Internal review,Submitted,Awarded,Declined,Withdrawn"</formula1>
    </dataValidation>
    <dataValidation sqref="F2:G41" showDropDown="0" showInputMessage="0" showErrorMessage="1" allowBlank="1" errorTitle="Award range" error="Enter a number in USD, 0 or more. The max can never sit below the min." type="decimal" operator="greaterThanOrEqual">
      <formula1>0</formula1>
    </dataValidation>
    <dataValidation sqref="O2:O41" showDropDown="0" showInputMessage="0" showErrorMessage="1" allowBlank="1" errorTitle="Awarded amount" error="Enter the amount actually awarded in USD, or leave blank until the decision arrives." type="decimal" operator="greaterThanOrEqual">
      <formula1>0</formula1>
    </dataValidation>
    <dataValidation sqref="H2:H41" showDropDown="0" showInputMessage="0" showErrorMessage="1" allowBlank="1" errorTitle="Date" error="Enter a real date (yyyy-mm-dd), or leave the cell blank." type="date" operator="greaterThan">
      <formula1>DATE(2000,1,1)</formula1>
    </dataValidation>
    <dataValidation sqref="M2:M41" showDropDown="0" showInputMessage="0" showErrorMessage="1" allowBlank="1" errorTitle="Date" error="Enter a real date (yyyy-mm-dd), or leave the cell blank." type="date" operator="greaterThan">
      <formula1>DATE(2000,1,1)</formula1>
    </dataValidation>
    <dataValidation sqref="N2:N41" showDropDown="0" showInputMessage="0" showErrorMessage="1" allowBlank="1" errorTitle="Date" error="Enter a real date (yyyy-mm-dd), or leave the cell blank." type="date" operator="greaterThan">
      <formula1>DATE(2000,1,1)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sheetPr>
  <dimension ref="A1:H20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5" customWidth="1" min="3" max="3"/>
    <col width="12" customWidth="1" min="4" max="4"/>
    <col width="42" customWidth="1" min="5" max="5"/>
    <col width="13" customWidth="1" min="6" max="6"/>
  </cols>
  <sheetData>
    <row r="1">
      <c r="A1" s="1" t="inlineStr">
        <is>
          <t>Opportunity ID</t>
        </is>
      </c>
      <c r="B1" s="1" t="inlineStr">
        <is>
          <t>Document</t>
        </is>
      </c>
      <c r="C1" s="1" t="inlineStr">
        <is>
          <t>Required? (Y/N)</t>
        </is>
      </c>
      <c r="D1" s="1" t="inlineStr">
        <is>
          <t>Ready? (Y/N)</t>
        </is>
      </c>
      <c r="E1" s="1" t="inlineStr">
        <is>
          <t>Where it lives</t>
        </is>
      </c>
      <c r="F1" s="1" t="inlineStr">
        <is>
          <t>Last checked</t>
        </is>
      </c>
      <c r="H1" s="2" t="inlineStr">
        <is>
          <t>Leave Required? blank for documents this funder does not ask for - only required documents count towards the readiness figure on Opportunities column P.</t>
        </is>
      </c>
    </row>
    <row r="2">
      <c r="A2" s="5" t="inlineStr">
        <is>
          <t>EX-001</t>
        </is>
      </c>
      <c r="B2" s="3" t="inlineStr">
        <is>
          <t>Mission statement (150 words)</t>
        </is>
      </c>
      <c r="C2" s="3" t="inlineStr">
        <is>
          <t>Y</t>
        </is>
      </c>
      <c r="D2" s="3" t="inlineStr">
        <is>
          <t>Y</t>
        </is>
      </c>
      <c r="E2" s="3" t="inlineStr">
        <is>
          <t>org-drive/accreditation/mission.docx</t>
        </is>
      </c>
      <c r="F2" s="5" t="n">
        <v>46266</v>
      </c>
    </row>
    <row r="3">
      <c r="A3" s="5" t="inlineStr">
        <is>
          <t>EX-001</t>
        </is>
      </c>
      <c r="B3" s="3" t="inlineStr">
        <is>
          <t>501(c)(3) determination letter</t>
        </is>
      </c>
      <c r="C3" s="3" t="inlineStr">
        <is>
          <t>Y</t>
        </is>
      </c>
      <c r="D3" s="3" t="inlineStr">
        <is>
          <t>Y</t>
        </is>
      </c>
      <c r="E3" s="3" t="inlineStr">
        <is>
          <t>org-drive/legal/irs-determination.pdf</t>
        </is>
      </c>
      <c r="F3" s="5" t="n">
        <v>46266</v>
      </c>
    </row>
    <row r="4">
      <c r="A4" s="5" t="inlineStr">
        <is>
          <t>EX-001</t>
        </is>
      </c>
      <c r="B4" s="3" t="inlineStr">
        <is>
          <t>Board of directors list with affiliations</t>
        </is>
      </c>
      <c r="C4" s="3" t="inlineStr">
        <is>
          <t>Y</t>
        </is>
      </c>
      <c r="D4" s="3" t="inlineStr">
        <is>
          <t>N</t>
        </is>
      </c>
      <c r="E4" s="3" t="inlineStr"/>
      <c r="F4" s="5" t="n"/>
    </row>
    <row r="5">
      <c r="A5" s="5" t="inlineStr">
        <is>
          <t>EX-001</t>
        </is>
      </c>
      <c r="B5" s="3" t="inlineStr">
        <is>
          <t>Project budget and budget narrative</t>
        </is>
      </c>
      <c r="C5" s="3" t="inlineStr">
        <is>
          <t>Y</t>
        </is>
      </c>
      <c r="D5" s="3" t="inlineStr">
        <is>
          <t>N</t>
        </is>
      </c>
      <c r="E5" s="3" t="inlineStr"/>
      <c r="F5" s="5" t="n"/>
    </row>
    <row r="6">
      <c r="A6" s="5" t="inlineStr">
        <is>
          <t>EX-001</t>
        </is>
      </c>
      <c r="B6" s="3" t="inlineStr">
        <is>
          <t>Program narrative (most recent)</t>
        </is>
      </c>
      <c r="C6" s="3" t="inlineStr">
        <is>
          <t>Y</t>
        </is>
      </c>
      <c r="D6" s="3" t="inlineStr">
        <is>
          <t>N</t>
        </is>
      </c>
      <c r="E6" s="3" t="inlineStr"/>
      <c r="F6" s="5" t="n"/>
    </row>
    <row r="7">
      <c r="A7" s="5" t="inlineStr">
        <is>
          <t>EX-001</t>
        </is>
      </c>
      <c r="B7" s="3" t="inlineStr">
        <is>
          <t>Letters of support</t>
        </is>
      </c>
      <c r="C7" s="3" t="inlineStr">
        <is>
          <t>N</t>
        </is>
      </c>
      <c r="D7" s="3" t="inlineStr">
        <is>
          <t>N</t>
        </is>
      </c>
      <c r="E7" s="3" t="inlineStr">
        <is>
          <t>ask two partner orgs</t>
        </is>
      </c>
      <c r="F7" s="5" t="n"/>
    </row>
    <row r="8">
      <c r="A8" s="5" t="inlineStr">
        <is>
          <t>EX-001</t>
        </is>
      </c>
      <c r="B8" s="3" t="inlineStr">
        <is>
          <t>Most recent IRS Form 990</t>
        </is>
      </c>
      <c r="C8" s="3" t="inlineStr">
        <is>
          <t>Y</t>
        </is>
      </c>
      <c r="D8" s="3" t="inlineStr">
        <is>
          <t>Y</t>
        </is>
      </c>
      <c r="E8" s="3" t="inlineStr">
        <is>
          <t>org-drive/finance/990-2025.pdf</t>
        </is>
      </c>
      <c r="F8" s="5" t="n">
        <v>46266</v>
      </c>
    </row>
    <row r="9">
      <c r="A9" s="5" t="inlineStr">
        <is>
          <t>EX-002</t>
        </is>
      </c>
      <c r="B9" s="3" t="inlineStr">
        <is>
          <t>Mission statement (150 words)</t>
        </is>
      </c>
      <c r="C9" s="3" t="inlineStr">
        <is>
          <t>Y</t>
        </is>
      </c>
      <c r="D9" s="3" t="inlineStr">
        <is>
          <t>Y</t>
        </is>
      </c>
      <c r="E9" s="3" t="inlineStr">
        <is>
          <t>org-drive/accreditation/mission.docx</t>
        </is>
      </c>
      <c r="F9" s="5" t="n">
        <v>46254</v>
      </c>
    </row>
    <row r="10">
      <c r="A10" s="5" t="inlineStr">
        <is>
          <t>EX-002</t>
        </is>
      </c>
      <c r="B10" s="3" t="inlineStr">
        <is>
          <t>Project budget and budget narrative</t>
        </is>
      </c>
      <c r="C10" s="3" t="inlineStr">
        <is>
          <t>Y</t>
        </is>
      </c>
      <c r="D10" s="3" t="inlineStr">
        <is>
          <t>Y</t>
        </is>
      </c>
      <c r="E10" s="3" t="inlineStr">
        <is>
          <t>org-drive/riverside/budget-v3.xlsx</t>
        </is>
      </c>
      <c r="F10" s="5" t="n">
        <v>46296</v>
      </c>
    </row>
    <row r="11">
      <c r="A11" s="5" t="inlineStr">
        <is>
          <t>EX-002</t>
        </is>
      </c>
      <c r="B11" s="3" t="inlineStr">
        <is>
          <t>Program narrative (most recent)</t>
        </is>
      </c>
      <c r="C11" s="3" t="inlineStr">
        <is>
          <t>Y</t>
        </is>
      </c>
      <c r="D11" s="3" t="inlineStr">
        <is>
          <t>Y</t>
        </is>
      </c>
      <c r="E11" s="3" t="inlineStr">
        <is>
          <t>org-drive/riverside/narrative-v2.docx</t>
        </is>
      </c>
      <c r="F11" s="5" t="n">
        <v>46296</v>
      </c>
    </row>
    <row r="12">
      <c r="A12" s="5" t="inlineStr">
        <is>
          <t>EX-002</t>
        </is>
      </c>
      <c r="B12" s="3" t="inlineStr">
        <is>
          <t>Outcomes tracking table</t>
        </is>
      </c>
      <c r="C12" s="3" t="inlineStr">
        <is>
          <t>Y</t>
        </is>
      </c>
      <c r="D12" s="3" t="inlineStr">
        <is>
          <t>Y</t>
        </is>
      </c>
      <c r="E12" s="3" t="inlineStr">
        <is>
          <t>org-drive/riverside/outcomes.xlsx</t>
        </is>
      </c>
      <c r="F12" s="5" t="n">
        <v>46299</v>
      </c>
    </row>
    <row r="13">
      <c r="A13" s="5" t="inlineStr">
        <is>
          <t>EX-002</t>
        </is>
      </c>
      <c r="B13" s="3" t="inlineStr">
        <is>
          <t>Board of directors list with affiliations</t>
        </is>
      </c>
      <c r="C13" s="3" t="inlineStr">
        <is>
          <t>Y</t>
        </is>
      </c>
      <c r="D13" s="3" t="inlineStr">
        <is>
          <t>Y</t>
        </is>
      </c>
      <c r="E13" s="3" t="inlineStr">
        <is>
          <t>org-drive/legal/board-2026.docx</t>
        </is>
      </c>
      <c r="F13" s="5" t="n">
        <v>46254</v>
      </c>
    </row>
    <row r="14">
      <c r="A14" s="11" t="inlineStr"/>
      <c r="B14" s="9" t="inlineStr"/>
      <c r="C14" s="9" t="inlineStr"/>
      <c r="D14" s="9" t="inlineStr"/>
      <c r="E14" s="9" t="inlineStr"/>
      <c r="F14" s="11" t="n"/>
    </row>
    <row r="15">
      <c r="A15" s="11" t="inlineStr"/>
      <c r="B15" s="9" t="inlineStr"/>
      <c r="C15" s="9" t="inlineStr"/>
      <c r="D15" s="9" t="inlineStr"/>
      <c r="E15" s="9" t="inlineStr"/>
      <c r="F15" s="11" t="n"/>
    </row>
    <row r="16">
      <c r="A16" s="11" t="inlineStr"/>
      <c r="B16" s="9" t="inlineStr"/>
      <c r="C16" s="9" t="inlineStr"/>
      <c r="D16" s="9" t="inlineStr"/>
      <c r="E16" s="9" t="inlineStr"/>
      <c r="F16" s="11" t="n"/>
    </row>
    <row r="17">
      <c r="A17" s="11" t="inlineStr"/>
      <c r="B17" s="9" t="inlineStr"/>
      <c r="C17" s="9" t="inlineStr"/>
      <c r="D17" s="9" t="inlineStr"/>
      <c r="E17" s="9" t="inlineStr"/>
      <c r="F17" s="11" t="n"/>
    </row>
    <row r="18">
      <c r="A18" s="11" t="inlineStr"/>
      <c r="B18" s="9" t="inlineStr"/>
      <c r="C18" s="9" t="inlineStr"/>
      <c r="D18" s="9" t="inlineStr"/>
      <c r="E18" s="9" t="inlineStr"/>
      <c r="F18" s="11" t="n"/>
    </row>
    <row r="19">
      <c r="A19" s="11" t="inlineStr"/>
      <c r="B19" s="9" t="inlineStr"/>
      <c r="C19" s="9" t="inlineStr"/>
      <c r="D19" s="9" t="inlineStr"/>
      <c r="E19" s="9" t="inlineStr"/>
      <c r="F19" s="11" t="n"/>
    </row>
    <row r="20">
      <c r="A20" s="11" t="inlineStr"/>
      <c r="B20" s="9" t="inlineStr"/>
      <c r="C20" s="9" t="inlineStr"/>
      <c r="D20" s="9" t="inlineStr"/>
      <c r="E20" s="9" t="inlineStr"/>
      <c r="F20" s="11" t="n"/>
    </row>
    <row r="21">
      <c r="A21" s="11" t="inlineStr"/>
      <c r="B21" s="9" t="inlineStr"/>
      <c r="C21" s="9" t="inlineStr"/>
      <c r="D21" s="9" t="inlineStr"/>
      <c r="E21" s="9" t="inlineStr"/>
      <c r="F21" s="11" t="n"/>
    </row>
    <row r="22">
      <c r="A22" s="11" t="inlineStr"/>
      <c r="B22" s="9" t="inlineStr"/>
      <c r="C22" s="9" t="inlineStr"/>
      <c r="D22" s="9" t="inlineStr"/>
      <c r="E22" s="9" t="inlineStr"/>
      <c r="F22" s="11" t="n"/>
    </row>
    <row r="23">
      <c r="A23" s="11" t="inlineStr"/>
      <c r="B23" s="9" t="inlineStr"/>
      <c r="C23" s="9" t="inlineStr"/>
      <c r="D23" s="9" t="inlineStr"/>
      <c r="E23" s="9" t="inlineStr"/>
      <c r="F23" s="11" t="n"/>
    </row>
    <row r="24">
      <c r="A24" s="11" t="inlineStr"/>
      <c r="B24" s="9" t="inlineStr"/>
      <c r="C24" s="9" t="inlineStr"/>
      <c r="D24" s="9" t="inlineStr"/>
      <c r="E24" s="9" t="inlineStr"/>
      <c r="F24" s="11" t="n"/>
    </row>
    <row r="25">
      <c r="A25" s="11" t="inlineStr"/>
      <c r="B25" s="9" t="inlineStr"/>
      <c r="C25" s="9" t="inlineStr"/>
      <c r="D25" s="9" t="inlineStr"/>
      <c r="E25" s="9" t="inlineStr"/>
      <c r="F25" s="11" t="n"/>
    </row>
    <row r="26">
      <c r="A26" s="11" t="inlineStr"/>
      <c r="B26" s="9" t="inlineStr"/>
      <c r="C26" s="9" t="inlineStr"/>
      <c r="D26" s="9" t="inlineStr"/>
      <c r="E26" s="9" t="inlineStr"/>
      <c r="F26" s="11" t="n"/>
    </row>
    <row r="27">
      <c r="A27" s="11" t="inlineStr"/>
      <c r="B27" s="9" t="inlineStr"/>
      <c r="C27" s="9" t="inlineStr"/>
      <c r="D27" s="9" t="inlineStr"/>
      <c r="E27" s="9" t="inlineStr"/>
      <c r="F27" s="11" t="n"/>
    </row>
    <row r="28">
      <c r="A28" s="11" t="inlineStr"/>
      <c r="B28" s="9" t="inlineStr"/>
      <c r="C28" s="9" t="inlineStr"/>
      <c r="D28" s="9" t="inlineStr"/>
      <c r="E28" s="9" t="inlineStr"/>
      <c r="F28" s="11" t="n"/>
    </row>
    <row r="29">
      <c r="A29" s="11" t="inlineStr"/>
      <c r="B29" s="9" t="inlineStr"/>
      <c r="C29" s="9" t="inlineStr"/>
      <c r="D29" s="9" t="inlineStr"/>
      <c r="E29" s="9" t="inlineStr"/>
      <c r="F29" s="11" t="n"/>
    </row>
    <row r="30">
      <c r="A30" s="11" t="inlineStr"/>
      <c r="B30" s="9" t="inlineStr"/>
      <c r="C30" s="9" t="inlineStr"/>
      <c r="D30" s="9" t="inlineStr"/>
      <c r="E30" s="9" t="inlineStr"/>
      <c r="F30" s="11" t="n"/>
    </row>
    <row r="31">
      <c r="A31" s="11" t="inlineStr"/>
      <c r="B31" s="9" t="inlineStr"/>
      <c r="C31" s="9" t="inlineStr"/>
      <c r="D31" s="9" t="inlineStr"/>
      <c r="E31" s="9" t="inlineStr"/>
      <c r="F31" s="11" t="n"/>
    </row>
    <row r="32">
      <c r="A32" s="11" t="inlineStr"/>
      <c r="B32" s="9" t="inlineStr"/>
      <c r="C32" s="9" t="inlineStr"/>
      <c r="D32" s="9" t="inlineStr"/>
      <c r="E32" s="9" t="inlineStr"/>
      <c r="F32" s="11" t="n"/>
    </row>
    <row r="33">
      <c r="A33" s="11" t="inlineStr"/>
      <c r="B33" s="9" t="inlineStr"/>
      <c r="C33" s="9" t="inlineStr"/>
      <c r="D33" s="9" t="inlineStr"/>
      <c r="E33" s="9" t="inlineStr"/>
      <c r="F33" s="11" t="n"/>
    </row>
    <row r="34">
      <c r="A34" s="11" t="inlineStr"/>
      <c r="B34" s="9" t="inlineStr"/>
      <c r="C34" s="9" t="inlineStr"/>
      <c r="D34" s="9" t="inlineStr"/>
      <c r="E34" s="9" t="inlineStr"/>
      <c r="F34" s="11" t="n"/>
    </row>
    <row r="35">
      <c r="A35" s="11" t="inlineStr"/>
      <c r="B35" s="9" t="inlineStr"/>
      <c r="C35" s="9" t="inlineStr"/>
      <c r="D35" s="9" t="inlineStr"/>
      <c r="E35" s="9" t="inlineStr"/>
      <c r="F35" s="11" t="n"/>
    </row>
    <row r="36">
      <c r="A36" s="11" t="inlineStr"/>
      <c r="B36" s="9" t="inlineStr"/>
      <c r="C36" s="9" t="inlineStr"/>
      <c r="D36" s="9" t="inlineStr"/>
      <c r="E36" s="9" t="inlineStr"/>
      <c r="F36" s="11" t="n"/>
    </row>
    <row r="37">
      <c r="A37" s="11" t="inlineStr"/>
      <c r="B37" s="9" t="inlineStr"/>
      <c r="C37" s="9" t="inlineStr"/>
      <c r="D37" s="9" t="inlineStr"/>
      <c r="E37" s="9" t="inlineStr"/>
      <c r="F37" s="11" t="n"/>
    </row>
    <row r="38">
      <c r="A38" s="11" t="inlineStr"/>
      <c r="B38" s="9" t="inlineStr"/>
      <c r="C38" s="9" t="inlineStr"/>
      <c r="D38" s="9" t="inlineStr"/>
      <c r="E38" s="9" t="inlineStr"/>
      <c r="F38" s="11" t="n"/>
    </row>
    <row r="39">
      <c r="A39" s="11" t="inlineStr"/>
      <c r="B39" s="9" t="inlineStr"/>
      <c r="C39" s="9" t="inlineStr"/>
      <c r="D39" s="9" t="inlineStr"/>
      <c r="E39" s="9" t="inlineStr"/>
      <c r="F39" s="11" t="n"/>
    </row>
    <row r="40">
      <c r="A40" s="11" t="inlineStr"/>
      <c r="B40" s="9" t="inlineStr"/>
      <c r="C40" s="9" t="inlineStr"/>
      <c r="D40" s="9" t="inlineStr"/>
      <c r="E40" s="9" t="inlineStr"/>
      <c r="F40" s="11" t="n"/>
    </row>
    <row r="41">
      <c r="A41" s="11" t="inlineStr"/>
      <c r="B41" s="9" t="inlineStr"/>
      <c r="C41" s="9" t="inlineStr"/>
      <c r="D41" s="9" t="inlineStr"/>
      <c r="E41" s="9" t="inlineStr"/>
      <c r="F41" s="11" t="n"/>
    </row>
    <row r="42">
      <c r="A42" s="11" t="inlineStr"/>
      <c r="B42" s="9" t="inlineStr"/>
      <c r="C42" s="9" t="inlineStr"/>
      <c r="D42" s="9" t="inlineStr"/>
      <c r="E42" s="9" t="inlineStr"/>
      <c r="F42" s="11" t="n"/>
    </row>
    <row r="43">
      <c r="A43" s="11" t="inlineStr"/>
      <c r="B43" s="9" t="inlineStr"/>
      <c r="C43" s="9" t="inlineStr"/>
      <c r="D43" s="9" t="inlineStr"/>
      <c r="E43" s="9" t="inlineStr"/>
      <c r="F43" s="11" t="n"/>
    </row>
    <row r="44">
      <c r="A44" s="11" t="inlineStr"/>
      <c r="B44" s="9" t="inlineStr"/>
      <c r="C44" s="9" t="inlineStr"/>
      <c r="D44" s="9" t="inlineStr"/>
      <c r="E44" s="9" t="inlineStr"/>
      <c r="F44" s="11" t="n"/>
    </row>
    <row r="45">
      <c r="A45" s="11" t="inlineStr"/>
      <c r="B45" s="9" t="inlineStr"/>
      <c r="C45" s="9" t="inlineStr"/>
      <c r="D45" s="9" t="inlineStr"/>
      <c r="E45" s="9" t="inlineStr"/>
      <c r="F45" s="11" t="n"/>
    </row>
    <row r="46">
      <c r="A46" s="11" t="inlineStr"/>
      <c r="B46" s="9" t="inlineStr"/>
      <c r="C46" s="9" t="inlineStr"/>
      <c r="D46" s="9" t="inlineStr"/>
      <c r="E46" s="9" t="inlineStr"/>
      <c r="F46" s="11" t="n"/>
    </row>
    <row r="47">
      <c r="A47" s="11" t="inlineStr"/>
      <c r="B47" s="9" t="inlineStr"/>
      <c r="C47" s="9" t="inlineStr"/>
      <c r="D47" s="9" t="inlineStr"/>
      <c r="E47" s="9" t="inlineStr"/>
      <c r="F47" s="11" t="n"/>
    </row>
    <row r="48">
      <c r="A48" s="11" t="inlineStr"/>
      <c r="B48" s="9" t="inlineStr"/>
      <c r="C48" s="9" t="inlineStr"/>
      <c r="D48" s="9" t="inlineStr"/>
      <c r="E48" s="9" t="inlineStr"/>
      <c r="F48" s="11" t="n"/>
    </row>
    <row r="49">
      <c r="A49" s="11" t="inlineStr"/>
      <c r="B49" s="9" t="inlineStr"/>
      <c r="C49" s="9" t="inlineStr"/>
      <c r="D49" s="9" t="inlineStr"/>
      <c r="E49" s="9" t="inlineStr"/>
      <c r="F49" s="11" t="n"/>
    </row>
    <row r="50">
      <c r="A50" s="11" t="inlineStr"/>
      <c r="B50" s="9" t="inlineStr"/>
      <c r="C50" s="9" t="inlineStr"/>
      <c r="D50" s="9" t="inlineStr"/>
      <c r="E50" s="9" t="inlineStr"/>
      <c r="F50" s="11" t="n"/>
    </row>
    <row r="51">
      <c r="A51" s="11" t="inlineStr"/>
      <c r="B51" s="9" t="inlineStr"/>
      <c r="C51" s="9" t="inlineStr"/>
      <c r="D51" s="9" t="inlineStr"/>
      <c r="E51" s="9" t="inlineStr"/>
      <c r="F51" s="11" t="n"/>
    </row>
    <row r="52">
      <c r="A52" s="11" t="inlineStr"/>
      <c r="B52" s="9" t="inlineStr"/>
      <c r="C52" s="9" t="inlineStr"/>
      <c r="D52" s="9" t="inlineStr"/>
      <c r="E52" s="9" t="inlineStr"/>
      <c r="F52" s="11" t="n"/>
    </row>
    <row r="53">
      <c r="A53" s="11" t="inlineStr"/>
      <c r="B53" s="9" t="inlineStr"/>
      <c r="C53" s="9" t="inlineStr"/>
      <c r="D53" s="9" t="inlineStr"/>
      <c r="E53" s="9" t="inlineStr"/>
      <c r="F53" s="11" t="n"/>
    </row>
    <row r="54">
      <c r="A54" s="11" t="inlineStr"/>
      <c r="B54" s="9" t="inlineStr"/>
      <c r="C54" s="9" t="inlineStr"/>
      <c r="D54" s="9" t="inlineStr"/>
      <c r="E54" s="9" t="inlineStr"/>
      <c r="F54" s="11" t="n"/>
    </row>
    <row r="55">
      <c r="A55" s="11" t="inlineStr"/>
      <c r="B55" s="9" t="inlineStr"/>
      <c r="C55" s="9" t="inlineStr"/>
      <c r="D55" s="9" t="inlineStr"/>
      <c r="E55" s="9" t="inlineStr"/>
      <c r="F55" s="11" t="n"/>
    </row>
    <row r="56">
      <c r="A56" s="11" t="inlineStr"/>
      <c r="B56" s="9" t="inlineStr"/>
      <c r="C56" s="9" t="inlineStr"/>
      <c r="D56" s="9" t="inlineStr"/>
      <c r="E56" s="9" t="inlineStr"/>
      <c r="F56" s="11" t="n"/>
    </row>
    <row r="57">
      <c r="A57" s="11" t="inlineStr"/>
      <c r="B57" s="9" t="inlineStr"/>
      <c r="C57" s="9" t="inlineStr"/>
      <c r="D57" s="9" t="inlineStr"/>
      <c r="E57" s="9" t="inlineStr"/>
      <c r="F57" s="11" t="n"/>
    </row>
    <row r="58">
      <c r="A58" s="11" t="inlineStr"/>
      <c r="B58" s="9" t="inlineStr"/>
      <c r="C58" s="9" t="inlineStr"/>
      <c r="D58" s="9" t="inlineStr"/>
      <c r="E58" s="9" t="inlineStr"/>
      <c r="F58" s="11" t="n"/>
    </row>
    <row r="59">
      <c r="A59" s="11" t="inlineStr"/>
      <c r="B59" s="9" t="inlineStr"/>
      <c r="C59" s="9" t="inlineStr"/>
      <c r="D59" s="9" t="inlineStr"/>
      <c r="E59" s="9" t="inlineStr"/>
      <c r="F59" s="11" t="n"/>
    </row>
    <row r="60">
      <c r="A60" s="11" t="inlineStr"/>
      <c r="B60" s="9" t="inlineStr"/>
      <c r="C60" s="9" t="inlineStr"/>
      <c r="D60" s="9" t="inlineStr"/>
      <c r="E60" s="9" t="inlineStr"/>
      <c r="F60" s="11" t="n"/>
    </row>
    <row r="61">
      <c r="A61" s="11" t="inlineStr"/>
      <c r="B61" s="9" t="inlineStr"/>
      <c r="C61" s="9" t="inlineStr"/>
      <c r="D61" s="9" t="inlineStr"/>
      <c r="E61" s="9" t="inlineStr"/>
      <c r="F61" s="11" t="n"/>
    </row>
    <row r="62">
      <c r="A62" s="11" t="inlineStr"/>
      <c r="B62" s="9" t="inlineStr"/>
      <c r="C62" s="9" t="inlineStr"/>
      <c r="D62" s="9" t="inlineStr"/>
      <c r="E62" s="9" t="inlineStr"/>
      <c r="F62" s="11" t="n"/>
    </row>
    <row r="63">
      <c r="A63" s="11" t="inlineStr"/>
      <c r="B63" s="9" t="inlineStr"/>
      <c r="C63" s="9" t="inlineStr"/>
      <c r="D63" s="9" t="inlineStr"/>
      <c r="E63" s="9" t="inlineStr"/>
      <c r="F63" s="11" t="n"/>
    </row>
    <row r="64">
      <c r="A64" s="11" t="inlineStr"/>
      <c r="B64" s="9" t="inlineStr"/>
      <c r="C64" s="9" t="inlineStr"/>
      <c r="D64" s="9" t="inlineStr"/>
      <c r="E64" s="9" t="inlineStr"/>
      <c r="F64" s="11" t="n"/>
    </row>
    <row r="65">
      <c r="A65" s="11" t="inlineStr"/>
      <c r="B65" s="9" t="inlineStr"/>
      <c r="C65" s="9" t="inlineStr"/>
      <c r="D65" s="9" t="inlineStr"/>
      <c r="E65" s="9" t="inlineStr"/>
      <c r="F65" s="11" t="n"/>
    </row>
    <row r="66">
      <c r="A66" s="11" t="inlineStr"/>
      <c r="B66" s="9" t="inlineStr"/>
      <c r="C66" s="9" t="inlineStr"/>
      <c r="D66" s="9" t="inlineStr"/>
      <c r="E66" s="9" t="inlineStr"/>
      <c r="F66" s="11" t="n"/>
    </row>
    <row r="67">
      <c r="A67" s="11" t="inlineStr"/>
      <c r="B67" s="9" t="inlineStr"/>
      <c r="C67" s="9" t="inlineStr"/>
      <c r="D67" s="9" t="inlineStr"/>
      <c r="E67" s="9" t="inlineStr"/>
      <c r="F67" s="11" t="n"/>
    </row>
    <row r="68">
      <c r="A68" s="11" t="inlineStr"/>
      <c r="B68" s="9" t="inlineStr"/>
      <c r="C68" s="9" t="inlineStr"/>
      <c r="D68" s="9" t="inlineStr"/>
      <c r="E68" s="9" t="inlineStr"/>
      <c r="F68" s="11" t="n"/>
    </row>
    <row r="69">
      <c r="A69" s="11" t="inlineStr"/>
      <c r="B69" s="9" t="inlineStr"/>
      <c r="C69" s="9" t="inlineStr"/>
      <c r="D69" s="9" t="inlineStr"/>
      <c r="E69" s="9" t="inlineStr"/>
      <c r="F69" s="11" t="n"/>
    </row>
    <row r="70">
      <c r="A70" s="11" t="inlineStr"/>
      <c r="B70" s="9" t="inlineStr"/>
      <c r="C70" s="9" t="inlineStr"/>
      <c r="D70" s="9" t="inlineStr"/>
      <c r="E70" s="9" t="inlineStr"/>
      <c r="F70" s="11" t="n"/>
    </row>
    <row r="71">
      <c r="A71" s="11" t="inlineStr"/>
      <c r="B71" s="9" t="inlineStr"/>
      <c r="C71" s="9" t="inlineStr"/>
      <c r="D71" s="9" t="inlineStr"/>
      <c r="E71" s="9" t="inlineStr"/>
      <c r="F71" s="11" t="n"/>
    </row>
    <row r="72">
      <c r="A72" s="11" t="inlineStr"/>
      <c r="B72" s="9" t="inlineStr"/>
      <c r="C72" s="9" t="inlineStr"/>
      <c r="D72" s="9" t="inlineStr"/>
      <c r="E72" s="9" t="inlineStr"/>
      <c r="F72" s="11" t="n"/>
    </row>
    <row r="73">
      <c r="A73" s="11" t="inlineStr"/>
      <c r="B73" s="9" t="inlineStr"/>
      <c r="C73" s="9" t="inlineStr"/>
      <c r="D73" s="9" t="inlineStr"/>
      <c r="E73" s="9" t="inlineStr"/>
      <c r="F73" s="11" t="n"/>
    </row>
    <row r="74">
      <c r="A74" s="11" t="inlineStr"/>
      <c r="B74" s="9" t="inlineStr"/>
      <c r="C74" s="9" t="inlineStr"/>
      <c r="D74" s="9" t="inlineStr"/>
      <c r="E74" s="9" t="inlineStr"/>
      <c r="F74" s="11" t="n"/>
    </row>
    <row r="75">
      <c r="A75" s="11" t="inlineStr"/>
      <c r="B75" s="9" t="inlineStr"/>
      <c r="C75" s="9" t="inlineStr"/>
      <c r="D75" s="9" t="inlineStr"/>
      <c r="E75" s="9" t="inlineStr"/>
      <c r="F75" s="11" t="n"/>
    </row>
    <row r="76">
      <c r="A76" s="11" t="inlineStr"/>
      <c r="B76" s="9" t="inlineStr"/>
      <c r="C76" s="9" t="inlineStr"/>
      <c r="D76" s="9" t="inlineStr"/>
      <c r="E76" s="9" t="inlineStr"/>
      <c r="F76" s="11" t="n"/>
    </row>
    <row r="77">
      <c r="A77" s="11" t="inlineStr"/>
      <c r="B77" s="9" t="inlineStr"/>
      <c r="C77" s="9" t="inlineStr"/>
      <c r="D77" s="9" t="inlineStr"/>
      <c r="E77" s="9" t="inlineStr"/>
      <c r="F77" s="11" t="n"/>
    </row>
    <row r="78">
      <c r="A78" s="11" t="inlineStr"/>
      <c r="B78" s="9" t="inlineStr"/>
      <c r="C78" s="9" t="inlineStr"/>
      <c r="D78" s="9" t="inlineStr"/>
      <c r="E78" s="9" t="inlineStr"/>
      <c r="F78" s="11" t="n"/>
    </row>
    <row r="79">
      <c r="A79" s="11" t="inlineStr"/>
      <c r="B79" s="9" t="inlineStr"/>
      <c r="C79" s="9" t="inlineStr"/>
      <c r="D79" s="9" t="inlineStr"/>
      <c r="E79" s="9" t="inlineStr"/>
      <c r="F79" s="11" t="n"/>
    </row>
    <row r="80">
      <c r="A80" s="11" t="inlineStr"/>
      <c r="B80" s="9" t="inlineStr"/>
      <c r="C80" s="9" t="inlineStr"/>
      <c r="D80" s="9" t="inlineStr"/>
      <c r="E80" s="9" t="inlineStr"/>
      <c r="F80" s="11" t="n"/>
    </row>
    <row r="81">
      <c r="A81" s="11" t="inlineStr"/>
      <c r="B81" s="9" t="inlineStr"/>
      <c r="C81" s="9" t="inlineStr"/>
      <c r="D81" s="9" t="inlineStr"/>
      <c r="E81" s="9" t="inlineStr"/>
      <c r="F81" s="11" t="n"/>
    </row>
    <row r="82">
      <c r="A82" s="11" t="inlineStr"/>
      <c r="B82" s="9" t="inlineStr"/>
      <c r="C82" s="9" t="inlineStr"/>
      <c r="D82" s="9" t="inlineStr"/>
      <c r="E82" s="9" t="inlineStr"/>
      <c r="F82" s="11" t="n"/>
    </row>
    <row r="83">
      <c r="A83" s="11" t="inlineStr"/>
      <c r="B83" s="9" t="inlineStr"/>
      <c r="C83" s="9" t="inlineStr"/>
      <c r="D83" s="9" t="inlineStr"/>
      <c r="E83" s="9" t="inlineStr"/>
      <c r="F83" s="11" t="n"/>
    </row>
    <row r="84">
      <c r="A84" s="11" t="inlineStr"/>
      <c r="B84" s="9" t="inlineStr"/>
      <c r="C84" s="9" t="inlineStr"/>
      <c r="D84" s="9" t="inlineStr"/>
      <c r="E84" s="9" t="inlineStr"/>
      <c r="F84" s="11" t="n"/>
    </row>
    <row r="85">
      <c r="A85" s="11" t="inlineStr"/>
      <c r="B85" s="9" t="inlineStr"/>
      <c r="C85" s="9" t="inlineStr"/>
      <c r="D85" s="9" t="inlineStr"/>
      <c r="E85" s="9" t="inlineStr"/>
      <c r="F85" s="11" t="n"/>
    </row>
    <row r="86">
      <c r="A86" s="11" t="inlineStr"/>
      <c r="B86" s="9" t="inlineStr"/>
      <c r="C86" s="9" t="inlineStr"/>
      <c r="D86" s="9" t="inlineStr"/>
      <c r="E86" s="9" t="inlineStr"/>
      <c r="F86" s="11" t="n"/>
    </row>
    <row r="87">
      <c r="A87" s="11" t="inlineStr"/>
      <c r="B87" s="9" t="inlineStr"/>
      <c r="C87" s="9" t="inlineStr"/>
      <c r="D87" s="9" t="inlineStr"/>
      <c r="E87" s="9" t="inlineStr"/>
      <c r="F87" s="11" t="n"/>
    </row>
    <row r="88">
      <c r="A88" s="11" t="inlineStr"/>
      <c r="B88" s="9" t="inlineStr"/>
      <c r="C88" s="9" t="inlineStr"/>
      <c r="D88" s="9" t="inlineStr"/>
      <c r="E88" s="9" t="inlineStr"/>
      <c r="F88" s="11" t="n"/>
    </row>
    <row r="89">
      <c r="A89" s="11" t="inlineStr"/>
      <c r="B89" s="9" t="inlineStr"/>
      <c r="C89" s="9" t="inlineStr"/>
      <c r="D89" s="9" t="inlineStr"/>
      <c r="E89" s="9" t="inlineStr"/>
      <c r="F89" s="11" t="n"/>
    </row>
    <row r="90">
      <c r="A90" s="11" t="inlineStr"/>
      <c r="B90" s="9" t="inlineStr"/>
      <c r="C90" s="9" t="inlineStr"/>
      <c r="D90" s="9" t="inlineStr"/>
      <c r="E90" s="9" t="inlineStr"/>
      <c r="F90" s="11" t="n"/>
    </row>
    <row r="91">
      <c r="A91" s="11" t="inlineStr"/>
      <c r="B91" s="9" t="inlineStr"/>
      <c r="C91" s="9" t="inlineStr"/>
      <c r="D91" s="9" t="inlineStr"/>
      <c r="E91" s="9" t="inlineStr"/>
      <c r="F91" s="11" t="n"/>
    </row>
    <row r="92">
      <c r="A92" s="11" t="inlineStr"/>
      <c r="B92" s="9" t="inlineStr"/>
      <c r="C92" s="9" t="inlineStr"/>
      <c r="D92" s="9" t="inlineStr"/>
      <c r="E92" s="9" t="inlineStr"/>
      <c r="F92" s="11" t="n"/>
    </row>
    <row r="93">
      <c r="A93" s="11" t="inlineStr"/>
      <c r="B93" s="9" t="inlineStr"/>
      <c r="C93" s="9" t="inlineStr"/>
      <c r="D93" s="9" t="inlineStr"/>
      <c r="E93" s="9" t="inlineStr"/>
      <c r="F93" s="11" t="n"/>
    </row>
    <row r="94">
      <c r="A94" s="11" t="inlineStr"/>
      <c r="B94" s="9" t="inlineStr"/>
      <c r="C94" s="9" t="inlineStr"/>
      <c r="D94" s="9" t="inlineStr"/>
      <c r="E94" s="9" t="inlineStr"/>
      <c r="F94" s="11" t="n"/>
    </row>
    <row r="95">
      <c r="A95" s="11" t="inlineStr"/>
      <c r="B95" s="9" t="inlineStr"/>
      <c r="C95" s="9" t="inlineStr"/>
      <c r="D95" s="9" t="inlineStr"/>
      <c r="E95" s="9" t="inlineStr"/>
      <c r="F95" s="11" t="n"/>
    </row>
    <row r="96">
      <c r="A96" s="11" t="inlineStr"/>
      <c r="B96" s="9" t="inlineStr"/>
      <c r="C96" s="9" t="inlineStr"/>
      <c r="D96" s="9" t="inlineStr"/>
      <c r="E96" s="9" t="inlineStr"/>
      <c r="F96" s="11" t="n"/>
    </row>
    <row r="97">
      <c r="A97" s="11" t="inlineStr"/>
      <c r="B97" s="9" t="inlineStr"/>
      <c r="C97" s="9" t="inlineStr"/>
      <c r="D97" s="9" t="inlineStr"/>
      <c r="E97" s="9" t="inlineStr"/>
      <c r="F97" s="11" t="n"/>
    </row>
    <row r="98">
      <c r="A98" s="11" t="inlineStr"/>
      <c r="B98" s="9" t="inlineStr"/>
      <c r="C98" s="9" t="inlineStr"/>
      <c r="D98" s="9" t="inlineStr"/>
      <c r="E98" s="9" t="inlineStr"/>
      <c r="F98" s="11" t="n"/>
    </row>
    <row r="99">
      <c r="A99" s="11" t="inlineStr"/>
      <c r="B99" s="9" t="inlineStr"/>
      <c r="C99" s="9" t="inlineStr"/>
      <c r="D99" s="9" t="inlineStr"/>
      <c r="E99" s="9" t="inlineStr"/>
      <c r="F99" s="11" t="n"/>
    </row>
    <row r="100">
      <c r="A100" s="11" t="inlineStr"/>
      <c r="B100" s="9" t="inlineStr"/>
      <c r="C100" s="9" t="inlineStr"/>
      <c r="D100" s="9" t="inlineStr"/>
      <c r="E100" s="9" t="inlineStr"/>
      <c r="F100" s="11" t="n"/>
    </row>
    <row r="101">
      <c r="A101" s="11" t="inlineStr"/>
      <c r="B101" s="9" t="inlineStr"/>
      <c r="C101" s="9" t="inlineStr"/>
      <c r="D101" s="9" t="inlineStr"/>
      <c r="E101" s="9" t="inlineStr"/>
      <c r="F101" s="11" t="n"/>
    </row>
    <row r="102">
      <c r="A102" s="11" t="inlineStr"/>
      <c r="B102" s="9" t="inlineStr"/>
      <c r="C102" s="9" t="inlineStr"/>
      <c r="D102" s="9" t="inlineStr"/>
      <c r="E102" s="9" t="inlineStr"/>
      <c r="F102" s="11" t="n"/>
    </row>
    <row r="103">
      <c r="A103" s="11" t="inlineStr"/>
      <c r="B103" s="9" t="inlineStr"/>
      <c r="C103" s="9" t="inlineStr"/>
      <c r="D103" s="9" t="inlineStr"/>
      <c r="E103" s="9" t="inlineStr"/>
      <c r="F103" s="11" t="n"/>
    </row>
    <row r="104">
      <c r="A104" s="11" t="inlineStr"/>
      <c r="B104" s="9" t="inlineStr"/>
      <c r="C104" s="9" t="inlineStr"/>
      <c r="D104" s="9" t="inlineStr"/>
      <c r="E104" s="9" t="inlineStr"/>
      <c r="F104" s="11" t="n"/>
    </row>
    <row r="105">
      <c r="A105" s="11" t="inlineStr"/>
      <c r="B105" s="9" t="inlineStr"/>
      <c r="C105" s="9" t="inlineStr"/>
      <c r="D105" s="9" t="inlineStr"/>
      <c r="E105" s="9" t="inlineStr"/>
      <c r="F105" s="11" t="n"/>
    </row>
    <row r="106">
      <c r="A106" s="11" t="inlineStr"/>
      <c r="B106" s="9" t="inlineStr"/>
      <c r="C106" s="9" t="inlineStr"/>
      <c r="D106" s="9" t="inlineStr"/>
      <c r="E106" s="9" t="inlineStr"/>
      <c r="F106" s="11" t="n"/>
    </row>
    <row r="107">
      <c r="A107" s="11" t="inlineStr"/>
      <c r="B107" s="9" t="inlineStr"/>
      <c r="C107" s="9" t="inlineStr"/>
      <c r="D107" s="9" t="inlineStr"/>
      <c r="E107" s="9" t="inlineStr"/>
      <c r="F107" s="11" t="n"/>
    </row>
    <row r="108">
      <c r="A108" s="11" t="inlineStr"/>
      <c r="B108" s="9" t="inlineStr"/>
      <c r="C108" s="9" t="inlineStr"/>
      <c r="D108" s="9" t="inlineStr"/>
      <c r="E108" s="9" t="inlineStr"/>
      <c r="F108" s="11" t="n"/>
    </row>
    <row r="109">
      <c r="A109" s="11" t="inlineStr"/>
      <c r="B109" s="9" t="inlineStr"/>
      <c r="C109" s="9" t="inlineStr"/>
      <c r="D109" s="9" t="inlineStr"/>
      <c r="E109" s="9" t="inlineStr"/>
      <c r="F109" s="11" t="n"/>
    </row>
    <row r="110">
      <c r="A110" s="11" t="inlineStr"/>
      <c r="B110" s="9" t="inlineStr"/>
      <c r="C110" s="9" t="inlineStr"/>
      <c r="D110" s="9" t="inlineStr"/>
      <c r="E110" s="9" t="inlineStr"/>
      <c r="F110" s="11" t="n"/>
    </row>
    <row r="111">
      <c r="A111" s="11" t="inlineStr"/>
      <c r="B111" s="9" t="inlineStr"/>
      <c r="C111" s="9" t="inlineStr"/>
      <c r="D111" s="9" t="inlineStr"/>
      <c r="E111" s="9" t="inlineStr"/>
      <c r="F111" s="11" t="n"/>
    </row>
    <row r="112">
      <c r="A112" s="11" t="inlineStr"/>
      <c r="B112" s="9" t="inlineStr"/>
      <c r="C112" s="9" t="inlineStr"/>
      <c r="D112" s="9" t="inlineStr"/>
      <c r="E112" s="9" t="inlineStr"/>
      <c r="F112" s="11" t="n"/>
    </row>
    <row r="113">
      <c r="A113" s="11" t="inlineStr"/>
      <c r="B113" s="9" t="inlineStr"/>
      <c r="C113" s="9" t="inlineStr"/>
      <c r="D113" s="9" t="inlineStr"/>
      <c r="E113" s="9" t="inlineStr"/>
      <c r="F113" s="11" t="n"/>
    </row>
    <row r="114">
      <c r="A114" s="11" t="inlineStr"/>
      <c r="B114" s="9" t="inlineStr"/>
      <c r="C114" s="9" t="inlineStr"/>
      <c r="D114" s="9" t="inlineStr"/>
      <c r="E114" s="9" t="inlineStr"/>
      <c r="F114" s="11" t="n"/>
    </row>
    <row r="115">
      <c r="A115" s="11" t="inlineStr"/>
      <c r="B115" s="9" t="inlineStr"/>
      <c r="C115" s="9" t="inlineStr"/>
      <c r="D115" s="9" t="inlineStr"/>
      <c r="E115" s="9" t="inlineStr"/>
      <c r="F115" s="11" t="n"/>
    </row>
    <row r="116">
      <c r="A116" s="11" t="inlineStr"/>
      <c r="B116" s="9" t="inlineStr"/>
      <c r="C116" s="9" t="inlineStr"/>
      <c r="D116" s="9" t="inlineStr"/>
      <c r="E116" s="9" t="inlineStr"/>
      <c r="F116" s="11" t="n"/>
    </row>
    <row r="117">
      <c r="A117" s="11" t="inlineStr"/>
      <c r="B117" s="9" t="inlineStr"/>
      <c r="C117" s="9" t="inlineStr"/>
      <c r="D117" s="9" t="inlineStr"/>
      <c r="E117" s="9" t="inlineStr"/>
      <c r="F117" s="11" t="n"/>
    </row>
    <row r="118">
      <c r="A118" s="11" t="inlineStr"/>
      <c r="B118" s="9" t="inlineStr"/>
      <c r="C118" s="9" t="inlineStr"/>
      <c r="D118" s="9" t="inlineStr"/>
      <c r="E118" s="9" t="inlineStr"/>
      <c r="F118" s="11" t="n"/>
    </row>
    <row r="119">
      <c r="A119" s="11" t="inlineStr"/>
      <c r="B119" s="9" t="inlineStr"/>
      <c r="C119" s="9" t="inlineStr"/>
      <c r="D119" s="9" t="inlineStr"/>
      <c r="E119" s="9" t="inlineStr"/>
      <c r="F119" s="11" t="n"/>
    </row>
    <row r="120">
      <c r="A120" s="11" t="inlineStr"/>
      <c r="B120" s="9" t="inlineStr"/>
      <c r="C120" s="9" t="inlineStr"/>
      <c r="D120" s="9" t="inlineStr"/>
      <c r="E120" s="9" t="inlineStr"/>
      <c r="F120" s="11" t="n"/>
    </row>
    <row r="121">
      <c r="A121" s="11" t="inlineStr"/>
      <c r="B121" s="9" t="inlineStr"/>
      <c r="C121" s="9" t="inlineStr"/>
      <c r="D121" s="9" t="inlineStr"/>
      <c r="E121" s="9" t="inlineStr"/>
      <c r="F121" s="11" t="n"/>
    </row>
    <row r="122">
      <c r="A122" s="11" t="inlineStr"/>
      <c r="B122" s="9" t="inlineStr"/>
      <c r="C122" s="9" t="inlineStr"/>
      <c r="D122" s="9" t="inlineStr"/>
      <c r="E122" s="9" t="inlineStr"/>
      <c r="F122" s="11" t="n"/>
    </row>
    <row r="123">
      <c r="A123" s="11" t="inlineStr"/>
      <c r="B123" s="9" t="inlineStr"/>
      <c r="C123" s="9" t="inlineStr"/>
      <c r="D123" s="9" t="inlineStr"/>
      <c r="E123" s="9" t="inlineStr"/>
      <c r="F123" s="11" t="n"/>
    </row>
    <row r="124">
      <c r="A124" s="11" t="inlineStr"/>
      <c r="B124" s="9" t="inlineStr"/>
      <c r="C124" s="9" t="inlineStr"/>
      <c r="D124" s="9" t="inlineStr"/>
      <c r="E124" s="9" t="inlineStr"/>
      <c r="F124" s="11" t="n"/>
    </row>
    <row r="125">
      <c r="A125" s="11" t="inlineStr"/>
      <c r="B125" s="9" t="inlineStr"/>
      <c r="C125" s="9" t="inlineStr"/>
      <c r="D125" s="9" t="inlineStr"/>
      <c r="E125" s="9" t="inlineStr"/>
      <c r="F125" s="11" t="n"/>
    </row>
    <row r="126">
      <c r="A126" s="11" t="inlineStr"/>
      <c r="B126" s="9" t="inlineStr"/>
      <c r="C126" s="9" t="inlineStr"/>
      <c r="D126" s="9" t="inlineStr"/>
      <c r="E126" s="9" t="inlineStr"/>
      <c r="F126" s="11" t="n"/>
    </row>
    <row r="127">
      <c r="A127" s="11" t="inlineStr"/>
      <c r="B127" s="9" t="inlineStr"/>
      <c r="C127" s="9" t="inlineStr"/>
      <c r="D127" s="9" t="inlineStr"/>
      <c r="E127" s="9" t="inlineStr"/>
      <c r="F127" s="11" t="n"/>
    </row>
    <row r="128">
      <c r="A128" s="11" t="inlineStr"/>
      <c r="B128" s="9" t="inlineStr"/>
      <c r="C128" s="9" t="inlineStr"/>
      <c r="D128" s="9" t="inlineStr"/>
      <c r="E128" s="9" t="inlineStr"/>
      <c r="F128" s="11" t="n"/>
    </row>
    <row r="129">
      <c r="A129" s="11" t="inlineStr"/>
      <c r="B129" s="9" t="inlineStr"/>
      <c r="C129" s="9" t="inlineStr"/>
      <c r="D129" s="9" t="inlineStr"/>
      <c r="E129" s="9" t="inlineStr"/>
      <c r="F129" s="11" t="n"/>
    </row>
    <row r="130">
      <c r="A130" s="11" t="inlineStr"/>
      <c r="B130" s="9" t="inlineStr"/>
      <c r="C130" s="9" t="inlineStr"/>
      <c r="D130" s="9" t="inlineStr"/>
      <c r="E130" s="9" t="inlineStr"/>
      <c r="F130" s="11" t="n"/>
    </row>
    <row r="131">
      <c r="A131" s="11" t="inlineStr"/>
      <c r="B131" s="9" t="inlineStr"/>
      <c r="C131" s="9" t="inlineStr"/>
      <c r="D131" s="9" t="inlineStr"/>
      <c r="E131" s="9" t="inlineStr"/>
      <c r="F131" s="11" t="n"/>
    </row>
    <row r="132">
      <c r="A132" s="11" t="inlineStr"/>
      <c r="B132" s="9" t="inlineStr"/>
      <c r="C132" s="9" t="inlineStr"/>
      <c r="D132" s="9" t="inlineStr"/>
      <c r="E132" s="9" t="inlineStr"/>
      <c r="F132" s="11" t="n"/>
    </row>
    <row r="133">
      <c r="A133" s="11" t="inlineStr"/>
      <c r="B133" s="9" t="inlineStr"/>
      <c r="C133" s="9" t="inlineStr"/>
      <c r="D133" s="9" t="inlineStr"/>
      <c r="E133" s="9" t="inlineStr"/>
      <c r="F133" s="11" t="n"/>
    </row>
    <row r="134">
      <c r="A134" s="11" t="inlineStr"/>
      <c r="B134" s="9" t="inlineStr"/>
      <c r="C134" s="9" t="inlineStr"/>
      <c r="D134" s="9" t="inlineStr"/>
      <c r="E134" s="9" t="inlineStr"/>
      <c r="F134" s="11" t="n"/>
    </row>
    <row r="135">
      <c r="A135" s="11" t="inlineStr"/>
      <c r="B135" s="9" t="inlineStr"/>
      <c r="C135" s="9" t="inlineStr"/>
      <c r="D135" s="9" t="inlineStr"/>
      <c r="E135" s="9" t="inlineStr"/>
      <c r="F135" s="11" t="n"/>
    </row>
    <row r="136">
      <c r="A136" s="11" t="inlineStr"/>
      <c r="B136" s="9" t="inlineStr"/>
      <c r="C136" s="9" t="inlineStr"/>
      <c r="D136" s="9" t="inlineStr"/>
      <c r="E136" s="9" t="inlineStr"/>
      <c r="F136" s="11" t="n"/>
    </row>
    <row r="137">
      <c r="A137" s="11" t="inlineStr"/>
      <c r="B137" s="9" t="inlineStr"/>
      <c r="C137" s="9" t="inlineStr"/>
      <c r="D137" s="9" t="inlineStr"/>
      <c r="E137" s="9" t="inlineStr"/>
      <c r="F137" s="11" t="n"/>
    </row>
    <row r="138">
      <c r="A138" s="11" t="inlineStr"/>
      <c r="B138" s="9" t="inlineStr"/>
      <c r="C138" s="9" t="inlineStr"/>
      <c r="D138" s="9" t="inlineStr"/>
      <c r="E138" s="9" t="inlineStr"/>
      <c r="F138" s="11" t="n"/>
    </row>
    <row r="139">
      <c r="A139" s="11" t="inlineStr"/>
      <c r="B139" s="9" t="inlineStr"/>
      <c r="C139" s="9" t="inlineStr"/>
      <c r="D139" s="9" t="inlineStr"/>
      <c r="E139" s="9" t="inlineStr"/>
      <c r="F139" s="11" t="n"/>
    </row>
    <row r="140">
      <c r="A140" s="11" t="inlineStr"/>
      <c r="B140" s="9" t="inlineStr"/>
      <c r="C140" s="9" t="inlineStr"/>
      <c r="D140" s="9" t="inlineStr"/>
      <c r="E140" s="9" t="inlineStr"/>
      <c r="F140" s="11" t="n"/>
    </row>
    <row r="141">
      <c r="A141" s="11" t="inlineStr"/>
      <c r="B141" s="9" t="inlineStr"/>
      <c r="C141" s="9" t="inlineStr"/>
      <c r="D141" s="9" t="inlineStr"/>
      <c r="E141" s="9" t="inlineStr"/>
      <c r="F141" s="11" t="n"/>
    </row>
    <row r="142">
      <c r="A142" s="11" t="inlineStr"/>
      <c r="B142" s="9" t="inlineStr"/>
      <c r="C142" s="9" t="inlineStr"/>
      <c r="D142" s="9" t="inlineStr"/>
      <c r="E142" s="9" t="inlineStr"/>
      <c r="F142" s="11" t="n"/>
    </row>
    <row r="143">
      <c r="A143" s="11" t="inlineStr"/>
      <c r="B143" s="9" t="inlineStr"/>
      <c r="C143" s="9" t="inlineStr"/>
      <c r="D143" s="9" t="inlineStr"/>
      <c r="E143" s="9" t="inlineStr"/>
      <c r="F143" s="11" t="n"/>
    </row>
    <row r="144">
      <c r="A144" s="11" t="inlineStr"/>
      <c r="B144" s="9" t="inlineStr"/>
      <c r="C144" s="9" t="inlineStr"/>
      <c r="D144" s="9" t="inlineStr"/>
      <c r="E144" s="9" t="inlineStr"/>
      <c r="F144" s="11" t="n"/>
    </row>
    <row r="145">
      <c r="A145" s="11" t="inlineStr"/>
      <c r="B145" s="9" t="inlineStr"/>
      <c r="C145" s="9" t="inlineStr"/>
      <c r="D145" s="9" t="inlineStr"/>
      <c r="E145" s="9" t="inlineStr"/>
      <c r="F145" s="11" t="n"/>
    </row>
    <row r="146">
      <c r="A146" s="11" t="inlineStr"/>
      <c r="B146" s="9" t="inlineStr"/>
      <c r="C146" s="9" t="inlineStr"/>
      <c r="D146" s="9" t="inlineStr"/>
      <c r="E146" s="9" t="inlineStr"/>
      <c r="F146" s="11" t="n"/>
    </row>
    <row r="147">
      <c r="A147" s="11" t="inlineStr"/>
      <c r="B147" s="9" t="inlineStr"/>
      <c r="C147" s="9" t="inlineStr"/>
      <c r="D147" s="9" t="inlineStr"/>
      <c r="E147" s="9" t="inlineStr"/>
      <c r="F147" s="11" t="n"/>
    </row>
    <row r="148">
      <c r="A148" s="11" t="inlineStr"/>
      <c r="B148" s="9" t="inlineStr"/>
      <c r="C148" s="9" t="inlineStr"/>
      <c r="D148" s="9" t="inlineStr"/>
      <c r="E148" s="9" t="inlineStr"/>
      <c r="F148" s="11" t="n"/>
    </row>
    <row r="149">
      <c r="A149" s="11" t="inlineStr"/>
      <c r="B149" s="9" t="inlineStr"/>
      <c r="C149" s="9" t="inlineStr"/>
      <c r="D149" s="9" t="inlineStr"/>
      <c r="E149" s="9" t="inlineStr"/>
      <c r="F149" s="11" t="n"/>
    </row>
    <row r="150">
      <c r="A150" s="11" t="inlineStr"/>
      <c r="B150" s="9" t="inlineStr"/>
      <c r="C150" s="9" t="inlineStr"/>
      <c r="D150" s="9" t="inlineStr"/>
      <c r="E150" s="9" t="inlineStr"/>
      <c r="F150" s="11" t="n"/>
    </row>
    <row r="151">
      <c r="A151" s="11" t="inlineStr"/>
      <c r="B151" s="9" t="inlineStr"/>
      <c r="C151" s="9" t="inlineStr"/>
      <c r="D151" s="9" t="inlineStr"/>
      <c r="E151" s="9" t="inlineStr"/>
      <c r="F151" s="11" t="n"/>
    </row>
    <row r="152">
      <c r="A152" s="11" t="inlineStr"/>
      <c r="B152" s="9" t="inlineStr"/>
      <c r="C152" s="9" t="inlineStr"/>
      <c r="D152" s="9" t="inlineStr"/>
      <c r="E152" s="9" t="inlineStr"/>
      <c r="F152" s="11" t="n"/>
    </row>
    <row r="153">
      <c r="A153" s="11" t="inlineStr"/>
      <c r="B153" s="9" t="inlineStr"/>
      <c r="C153" s="9" t="inlineStr"/>
      <c r="D153" s="9" t="inlineStr"/>
      <c r="E153" s="9" t="inlineStr"/>
      <c r="F153" s="11" t="n"/>
    </row>
    <row r="154">
      <c r="A154" s="11" t="inlineStr"/>
      <c r="B154" s="9" t="inlineStr"/>
      <c r="C154" s="9" t="inlineStr"/>
      <c r="D154" s="9" t="inlineStr"/>
      <c r="E154" s="9" t="inlineStr"/>
      <c r="F154" s="11" t="n"/>
    </row>
    <row r="155">
      <c r="A155" s="11" t="inlineStr"/>
      <c r="B155" s="9" t="inlineStr"/>
      <c r="C155" s="9" t="inlineStr"/>
      <c r="D155" s="9" t="inlineStr"/>
      <c r="E155" s="9" t="inlineStr"/>
      <c r="F155" s="11" t="n"/>
    </row>
    <row r="156">
      <c r="A156" s="11" t="inlineStr"/>
      <c r="B156" s="9" t="inlineStr"/>
      <c r="C156" s="9" t="inlineStr"/>
      <c r="D156" s="9" t="inlineStr"/>
      <c r="E156" s="9" t="inlineStr"/>
      <c r="F156" s="11" t="n"/>
    </row>
    <row r="157">
      <c r="A157" s="11" t="inlineStr"/>
      <c r="B157" s="9" t="inlineStr"/>
      <c r="C157" s="9" t="inlineStr"/>
      <c r="D157" s="9" t="inlineStr"/>
      <c r="E157" s="9" t="inlineStr"/>
      <c r="F157" s="11" t="n"/>
    </row>
    <row r="158">
      <c r="A158" s="11" t="inlineStr"/>
      <c r="B158" s="9" t="inlineStr"/>
      <c r="C158" s="9" t="inlineStr"/>
      <c r="D158" s="9" t="inlineStr"/>
      <c r="E158" s="9" t="inlineStr"/>
      <c r="F158" s="11" t="n"/>
    </row>
    <row r="159">
      <c r="A159" s="11" t="inlineStr"/>
      <c r="B159" s="9" t="inlineStr"/>
      <c r="C159" s="9" t="inlineStr"/>
      <c r="D159" s="9" t="inlineStr"/>
      <c r="E159" s="9" t="inlineStr"/>
      <c r="F159" s="11" t="n"/>
    </row>
    <row r="160">
      <c r="A160" s="11" t="inlineStr"/>
      <c r="B160" s="9" t="inlineStr"/>
      <c r="C160" s="9" t="inlineStr"/>
      <c r="D160" s="9" t="inlineStr"/>
      <c r="E160" s="9" t="inlineStr"/>
      <c r="F160" s="11" t="n"/>
    </row>
    <row r="161">
      <c r="A161" s="11" t="inlineStr"/>
      <c r="B161" s="9" t="inlineStr"/>
      <c r="C161" s="9" t="inlineStr"/>
      <c r="D161" s="9" t="inlineStr"/>
      <c r="E161" s="9" t="inlineStr"/>
      <c r="F161" s="11" t="n"/>
    </row>
    <row r="162">
      <c r="A162" s="11" t="inlineStr"/>
      <c r="B162" s="9" t="inlineStr"/>
      <c r="C162" s="9" t="inlineStr"/>
      <c r="D162" s="9" t="inlineStr"/>
      <c r="E162" s="9" t="inlineStr"/>
      <c r="F162" s="11" t="n"/>
    </row>
    <row r="163">
      <c r="A163" s="11" t="inlineStr"/>
      <c r="B163" s="9" t="inlineStr"/>
      <c r="C163" s="9" t="inlineStr"/>
      <c r="D163" s="9" t="inlineStr"/>
      <c r="E163" s="9" t="inlineStr"/>
      <c r="F163" s="11" t="n"/>
    </row>
    <row r="164">
      <c r="A164" s="11" t="inlineStr"/>
      <c r="B164" s="9" t="inlineStr"/>
      <c r="C164" s="9" t="inlineStr"/>
      <c r="D164" s="9" t="inlineStr"/>
      <c r="E164" s="9" t="inlineStr"/>
      <c r="F164" s="11" t="n"/>
    </row>
    <row r="165">
      <c r="A165" s="11" t="inlineStr"/>
      <c r="B165" s="9" t="inlineStr"/>
      <c r="C165" s="9" t="inlineStr"/>
      <c r="D165" s="9" t="inlineStr"/>
      <c r="E165" s="9" t="inlineStr"/>
      <c r="F165" s="11" t="n"/>
    </row>
    <row r="166">
      <c r="A166" s="11" t="inlineStr"/>
      <c r="B166" s="9" t="inlineStr"/>
      <c r="C166" s="9" t="inlineStr"/>
      <c r="D166" s="9" t="inlineStr"/>
      <c r="E166" s="9" t="inlineStr"/>
      <c r="F166" s="11" t="n"/>
    </row>
    <row r="167">
      <c r="A167" s="11" t="inlineStr"/>
      <c r="B167" s="9" t="inlineStr"/>
      <c r="C167" s="9" t="inlineStr"/>
      <c r="D167" s="9" t="inlineStr"/>
      <c r="E167" s="9" t="inlineStr"/>
      <c r="F167" s="11" t="n"/>
    </row>
    <row r="168">
      <c r="A168" s="11" t="inlineStr"/>
      <c r="B168" s="9" t="inlineStr"/>
      <c r="C168" s="9" t="inlineStr"/>
      <c r="D168" s="9" t="inlineStr"/>
      <c r="E168" s="9" t="inlineStr"/>
      <c r="F168" s="11" t="n"/>
    </row>
    <row r="169">
      <c r="A169" s="11" t="inlineStr"/>
      <c r="B169" s="9" t="inlineStr"/>
      <c r="C169" s="9" t="inlineStr"/>
      <c r="D169" s="9" t="inlineStr"/>
      <c r="E169" s="9" t="inlineStr"/>
      <c r="F169" s="11" t="n"/>
    </row>
    <row r="170">
      <c r="A170" s="11" t="inlineStr"/>
      <c r="B170" s="9" t="inlineStr"/>
      <c r="C170" s="9" t="inlineStr"/>
      <c r="D170" s="9" t="inlineStr"/>
      <c r="E170" s="9" t="inlineStr"/>
      <c r="F170" s="11" t="n"/>
    </row>
    <row r="171">
      <c r="A171" s="11" t="inlineStr"/>
      <c r="B171" s="9" t="inlineStr"/>
      <c r="C171" s="9" t="inlineStr"/>
      <c r="D171" s="9" t="inlineStr"/>
      <c r="E171" s="9" t="inlineStr"/>
      <c r="F171" s="11" t="n"/>
    </row>
    <row r="172">
      <c r="A172" s="11" t="inlineStr"/>
      <c r="B172" s="9" t="inlineStr"/>
      <c r="C172" s="9" t="inlineStr"/>
      <c r="D172" s="9" t="inlineStr"/>
      <c r="E172" s="9" t="inlineStr"/>
      <c r="F172" s="11" t="n"/>
    </row>
    <row r="173">
      <c r="A173" s="11" t="inlineStr"/>
      <c r="B173" s="9" t="inlineStr"/>
      <c r="C173" s="9" t="inlineStr"/>
      <c r="D173" s="9" t="inlineStr"/>
      <c r="E173" s="9" t="inlineStr"/>
      <c r="F173" s="11" t="n"/>
    </row>
    <row r="174">
      <c r="A174" s="11" t="inlineStr"/>
      <c r="B174" s="9" t="inlineStr"/>
      <c r="C174" s="9" t="inlineStr"/>
      <c r="D174" s="9" t="inlineStr"/>
      <c r="E174" s="9" t="inlineStr"/>
      <c r="F174" s="11" t="n"/>
    </row>
    <row r="175">
      <c r="A175" s="11" t="inlineStr"/>
      <c r="B175" s="9" t="inlineStr"/>
      <c r="C175" s="9" t="inlineStr"/>
      <c r="D175" s="9" t="inlineStr"/>
      <c r="E175" s="9" t="inlineStr"/>
      <c r="F175" s="11" t="n"/>
    </row>
    <row r="176">
      <c r="A176" s="11" t="inlineStr"/>
      <c r="B176" s="9" t="inlineStr"/>
      <c r="C176" s="9" t="inlineStr"/>
      <c r="D176" s="9" t="inlineStr"/>
      <c r="E176" s="9" t="inlineStr"/>
      <c r="F176" s="11" t="n"/>
    </row>
    <row r="177">
      <c r="A177" s="11" t="inlineStr"/>
      <c r="B177" s="9" t="inlineStr"/>
      <c r="C177" s="9" t="inlineStr"/>
      <c r="D177" s="9" t="inlineStr"/>
      <c r="E177" s="9" t="inlineStr"/>
      <c r="F177" s="11" t="n"/>
    </row>
    <row r="178">
      <c r="A178" s="11" t="inlineStr"/>
      <c r="B178" s="9" t="inlineStr"/>
      <c r="C178" s="9" t="inlineStr"/>
      <c r="D178" s="9" t="inlineStr"/>
      <c r="E178" s="9" t="inlineStr"/>
      <c r="F178" s="11" t="n"/>
    </row>
    <row r="179">
      <c r="A179" s="11" t="inlineStr"/>
      <c r="B179" s="9" t="inlineStr"/>
      <c r="C179" s="9" t="inlineStr"/>
      <c r="D179" s="9" t="inlineStr"/>
      <c r="E179" s="9" t="inlineStr"/>
      <c r="F179" s="11" t="n"/>
    </row>
    <row r="180">
      <c r="A180" s="11" t="inlineStr"/>
      <c r="B180" s="9" t="inlineStr"/>
      <c r="C180" s="9" t="inlineStr"/>
      <c r="D180" s="9" t="inlineStr"/>
      <c r="E180" s="9" t="inlineStr"/>
      <c r="F180" s="11" t="n"/>
    </row>
    <row r="181">
      <c r="A181" s="11" t="inlineStr"/>
      <c r="B181" s="9" t="inlineStr"/>
      <c r="C181" s="9" t="inlineStr"/>
      <c r="D181" s="9" t="inlineStr"/>
      <c r="E181" s="9" t="inlineStr"/>
      <c r="F181" s="11" t="n"/>
    </row>
    <row r="182">
      <c r="A182" s="11" t="inlineStr"/>
      <c r="B182" s="9" t="inlineStr"/>
      <c r="C182" s="9" t="inlineStr"/>
      <c r="D182" s="9" t="inlineStr"/>
      <c r="E182" s="9" t="inlineStr"/>
      <c r="F182" s="11" t="n"/>
    </row>
    <row r="183">
      <c r="A183" s="11" t="inlineStr"/>
      <c r="B183" s="9" t="inlineStr"/>
      <c r="C183" s="9" t="inlineStr"/>
      <c r="D183" s="9" t="inlineStr"/>
      <c r="E183" s="9" t="inlineStr"/>
      <c r="F183" s="11" t="n"/>
    </row>
    <row r="184">
      <c r="A184" s="11" t="inlineStr"/>
      <c r="B184" s="9" t="inlineStr"/>
      <c r="C184" s="9" t="inlineStr"/>
      <c r="D184" s="9" t="inlineStr"/>
      <c r="E184" s="9" t="inlineStr"/>
      <c r="F184" s="11" t="n"/>
    </row>
    <row r="185">
      <c r="A185" s="11" t="inlineStr"/>
      <c r="B185" s="9" t="inlineStr"/>
      <c r="C185" s="9" t="inlineStr"/>
      <c r="D185" s="9" t="inlineStr"/>
      <c r="E185" s="9" t="inlineStr"/>
      <c r="F185" s="11" t="n"/>
    </row>
    <row r="186">
      <c r="A186" s="11" t="inlineStr"/>
      <c r="B186" s="9" t="inlineStr"/>
      <c r="C186" s="9" t="inlineStr"/>
      <c r="D186" s="9" t="inlineStr"/>
      <c r="E186" s="9" t="inlineStr"/>
      <c r="F186" s="11" t="n"/>
    </row>
    <row r="187">
      <c r="A187" s="11" t="inlineStr"/>
      <c r="B187" s="9" t="inlineStr"/>
      <c r="C187" s="9" t="inlineStr"/>
      <c r="D187" s="9" t="inlineStr"/>
      <c r="E187" s="9" t="inlineStr"/>
      <c r="F187" s="11" t="n"/>
    </row>
    <row r="188">
      <c r="A188" s="11" t="inlineStr"/>
      <c r="B188" s="9" t="inlineStr"/>
      <c r="C188" s="9" t="inlineStr"/>
      <c r="D188" s="9" t="inlineStr"/>
      <c r="E188" s="9" t="inlineStr"/>
      <c r="F188" s="11" t="n"/>
    </row>
    <row r="189">
      <c r="A189" s="11" t="inlineStr"/>
      <c r="B189" s="9" t="inlineStr"/>
      <c r="C189" s="9" t="inlineStr"/>
      <c r="D189" s="9" t="inlineStr"/>
      <c r="E189" s="9" t="inlineStr"/>
      <c r="F189" s="11" t="n"/>
    </row>
    <row r="190">
      <c r="A190" s="11" t="inlineStr"/>
      <c r="B190" s="9" t="inlineStr"/>
      <c r="C190" s="9" t="inlineStr"/>
      <c r="D190" s="9" t="inlineStr"/>
      <c r="E190" s="9" t="inlineStr"/>
      <c r="F190" s="11" t="n"/>
    </row>
    <row r="191">
      <c r="A191" s="11" t="inlineStr"/>
      <c r="B191" s="9" t="inlineStr"/>
      <c r="C191" s="9" t="inlineStr"/>
      <c r="D191" s="9" t="inlineStr"/>
      <c r="E191" s="9" t="inlineStr"/>
      <c r="F191" s="11" t="n"/>
    </row>
    <row r="192">
      <c r="A192" s="11" t="inlineStr"/>
      <c r="B192" s="9" t="inlineStr"/>
      <c r="C192" s="9" t="inlineStr"/>
      <c r="D192" s="9" t="inlineStr"/>
      <c r="E192" s="9" t="inlineStr"/>
      <c r="F192" s="11" t="n"/>
    </row>
    <row r="193">
      <c r="A193" s="11" t="inlineStr"/>
      <c r="B193" s="9" t="inlineStr"/>
      <c r="C193" s="9" t="inlineStr"/>
      <c r="D193" s="9" t="inlineStr"/>
      <c r="E193" s="9" t="inlineStr"/>
      <c r="F193" s="11" t="n"/>
    </row>
    <row r="194">
      <c r="A194" s="11" t="inlineStr"/>
      <c r="B194" s="9" t="inlineStr"/>
      <c r="C194" s="9" t="inlineStr"/>
      <c r="D194" s="9" t="inlineStr"/>
      <c r="E194" s="9" t="inlineStr"/>
      <c r="F194" s="11" t="n"/>
    </row>
    <row r="195">
      <c r="A195" s="11" t="inlineStr"/>
      <c r="B195" s="9" t="inlineStr"/>
      <c r="C195" s="9" t="inlineStr"/>
      <c r="D195" s="9" t="inlineStr"/>
      <c r="E195" s="9" t="inlineStr"/>
      <c r="F195" s="11" t="n"/>
    </row>
    <row r="196">
      <c r="A196" s="11" t="inlineStr"/>
      <c r="B196" s="9" t="inlineStr"/>
      <c r="C196" s="9" t="inlineStr"/>
      <c r="D196" s="9" t="inlineStr"/>
      <c r="E196" s="9" t="inlineStr"/>
      <c r="F196" s="11" t="n"/>
    </row>
    <row r="197">
      <c r="A197" s="11" t="inlineStr"/>
      <c r="B197" s="9" t="inlineStr"/>
      <c r="C197" s="9" t="inlineStr"/>
      <c r="D197" s="9" t="inlineStr"/>
      <c r="E197" s="9" t="inlineStr"/>
      <c r="F197" s="11" t="n"/>
    </row>
    <row r="198">
      <c r="A198" s="11" t="inlineStr"/>
      <c r="B198" s="9" t="inlineStr"/>
      <c r="C198" s="9" t="inlineStr"/>
      <c r="D198" s="9" t="inlineStr"/>
      <c r="E198" s="9" t="inlineStr"/>
      <c r="F198" s="11" t="n"/>
    </row>
    <row r="199">
      <c r="A199" s="11" t="inlineStr"/>
      <c r="B199" s="9" t="inlineStr"/>
      <c r="C199" s="9" t="inlineStr"/>
      <c r="D199" s="9" t="inlineStr"/>
      <c r="E199" s="9" t="inlineStr"/>
      <c r="F199" s="11" t="n"/>
    </row>
    <row r="200">
      <c r="A200" s="11" t="inlineStr"/>
      <c r="B200" s="9" t="inlineStr"/>
      <c r="C200" s="9" t="inlineStr"/>
      <c r="D200" s="9" t="inlineStr"/>
      <c r="E200" s="9" t="inlineStr"/>
      <c r="F200" s="11" t="n"/>
    </row>
    <row r="201">
      <c r="A201" s="11" t="inlineStr"/>
      <c r="B201" s="9" t="inlineStr"/>
      <c r="C201" s="9" t="inlineStr"/>
      <c r="D201" s="9" t="inlineStr"/>
      <c r="E201" s="9" t="inlineStr"/>
      <c r="F201" s="11" t="n"/>
    </row>
  </sheetData>
  <dataValidations count="2">
    <dataValidation sqref="C2:C201" showDropDown="0" showInputMessage="1" showErrorMessage="1" allowBlank="1" errorTitle="Y or N" error="Enter Y or N. Required? = is this document required by this funder." type="list">
      <formula1>"Y,N"</formula1>
    </dataValidation>
    <dataValidation sqref="D2:D201" showDropDown="0" showInputMessage="1" showErrorMessage="1" allowBlank="1" errorTitle="Y or N" error="Enter Y or N. Required? = is this document required by this funder."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sheetPr>
  <dimension ref="A1:G12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5" customWidth="1" min="3" max="3"/>
    <col width="15" customWidth="1" min="4" max="4"/>
    <col width="40" customWidth="1" min="5" max="5"/>
  </cols>
  <sheetData>
    <row r="1">
      <c r="A1" s="1" t="inlineStr">
        <is>
          <t>Opportunity ID</t>
        </is>
      </c>
      <c r="B1" s="1" t="inlineStr">
        <is>
          <t>Line item</t>
        </is>
      </c>
      <c r="C1" s="1" t="inlineStr">
        <is>
          <t>Requested (USD)</t>
        </is>
      </c>
      <c r="D1" s="1" t="inlineStr">
        <is>
          <t>Confirmed (USD)</t>
        </is>
      </c>
      <c r="E1" s="1" t="inlineStr">
        <is>
          <t>Notes</t>
        </is>
      </c>
      <c r="G1" s="2" t="inlineStr">
        <is>
          <t>Requested = what you asked for (one row per budget line). Confirmed = what the award letter actually committed, filled in only after a decision. The Dashboard compares the total requested here with the total awarded on Opportunities.</t>
        </is>
      </c>
    </row>
    <row r="2">
      <c r="A2" s="3" t="inlineStr">
        <is>
          <t>EX-001</t>
        </is>
      </c>
      <c r="B2" s="3" t="inlineStr">
        <is>
          <t>Teaching artist stipends</t>
        </is>
      </c>
      <c r="C2" s="4" t="n">
        <v>6000</v>
      </c>
      <c r="D2" s="4" t="n"/>
      <c r="E2" s="3" t="inlineStr">
        <is>
          <t>EXAMPLE 12 sessions x $500</t>
        </is>
      </c>
    </row>
    <row r="3">
      <c r="A3" s="3" t="inlineStr">
        <is>
          <t>EX-001</t>
        </is>
      </c>
      <c r="B3" s="3" t="inlineStr">
        <is>
          <t>Materials and instruments</t>
        </is>
      </c>
      <c r="C3" s="4" t="n">
        <v>3000</v>
      </c>
      <c r="D3" s="4" t="n"/>
      <c r="E3" s="3" t="inlineStr"/>
    </row>
    <row r="4">
      <c r="A4" s="3" t="inlineStr">
        <is>
          <t>EX-001</t>
        </is>
      </c>
      <c r="B4" s="3" t="inlineStr">
        <is>
          <t>Evaluation</t>
        </is>
      </c>
      <c r="C4" s="4" t="n">
        <v>1500</v>
      </c>
      <c r="D4" s="4" t="n"/>
      <c r="E4" s="3" t="inlineStr"/>
    </row>
    <row r="5">
      <c r="A5" s="3" t="inlineStr">
        <is>
          <t>EX-001</t>
        </is>
      </c>
      <c r="B5" s="3" t="inlineStr">
        <is>
          <t>Administration (10%)</t>
        </is>
      </c>
      <c r="C5" s="4" t="n">
        <v>1500</v>
      </c>
      <c r="D5" s="4" t="n"/>
      <c r="E5" s="3" t="inlineStr"/>
    </row>
    <row r="6">
      <c r="A6" s="3" t="inlineStr">
        <is>
          <t>EX-002</t>
        </is>
      </c>
      <c r="B6" s="3" t="inlineStr">
        <is>
          <t>Community health workers (part-time)</t>
        </is>
      </c>
      <c r="C6" s="4" t="n">
        <v>12000</v>
      </c>
      <c r="D6" s="4" t="n"/>
      <c r="E6" s="3" t="inlineStr"/>
    </row>
    <row r="7">
      <c r="A7" s="3" t="inlineStr">
        <is>
          <t>EX-002</t>
        </is>
      </c>
      <c r="B7" s="3" t="inlineStr">
        <is>
          <t>Screening equipment</t>
        </is>
      </c>
      <c r="C7" s="4" t="n">
        <v>4000</v>
      </c>
      <c r="D7" s="4" t="n"/>
      <c r="E7" s="3" t="inlineStr"/>
    </row>
    <row r="8">
      <c r="A8" s="3" t="inlineStr">
        <is>
          <t>EX-002</t>
        </is>
      </c>
      <c r="B8" s="3" t="inlineStr">
        <is>
          <t>Translation and outreach</t>
        </is>
      </c>
      <c r="C8" s="4" t="n">
        <v>2000</v>
      </c>
      <c r="D8" s="4" t="n"/>
      <c r="E8" s="3" t="inlineStr"/>
    </row>
    <row r="9">
      <c r="A9" s="9" t="inlineStr"/>
      <c r="B9" s="9" t="inlineStr"/>
      <c r="C9" s="10" t="n"/>
      <c r="D9" s="10" t="n"/>
      <c r="E9" s="9" t="inlineStr"/>
    </row>
    <row r="10">
      <c r="A10" s="9" t="inlineStr"/>
      <c r="B10" s="9" t="inlineStr"/>
      <c r="C10" s="10" t="n"/>
      <c r="D10" s="10" t="n"/>
      <c r="E10" s="9" t="inlineStr"/>
    </row>
    <row r="11">
      <c r="A11" s="9" t="inlineStr"/>
      <c r="B11" s="9" t="inlineStr"/>
      <c r="C11" s="10" t="n"/>
      <c r="D11" s="10" t="n"/>
      <c r="E11" s="9" t="inlineStr"/>
    </row>
    <row r="12">
      <c r="A12" s="9" t="inlineStr"/>
      <c r="B12" s="9" t="inlineStr"/>
      <c r="C12" s="10" t="n"/>
      <c r="D12" s="10" t="n"/>
      <c r="E12" s="9" t="inlineStr"/>
    </row>
    <row r="13">
      <c r="A13" s="9" t="inlineStr"/>
      <c r="B13" s="9" t="inlineStr"/>
      <c r="C13" s="10" t="n"/>
      <c r="D13" s="10" t="n"/>
      <c r="E13" s="9" t="inlineStr"/>
    </row>
    <row r="14">
      <c r="A14" s="9" t="inlineStr"/>
      <c r="B14" s="9" t="inlineStr"/>
      <c r="C14" s="10" t="n"/>
      <c r="D14" s="10" t="n"/>
      <c r="E14" s="9" t="inlineStr"/>
    </row>
    <row r="15">
      <c r="A15" s="9" t="inlineStr"/>
      <c r="B15" s="9" t="inlineStr"/>
      <c r="C15" s="10" t="n"/>
      <c r="D15" s="10" t="n"/>
      <c r="E15" s="9" t="inlineStr"/>
    </row>
    <row r="16">
      <c r="A16" s="9" t="inlineStr"/>
      <c r="B16" s="9" t="inlineStr"/>
      <c r="C16" s="10" t="n"/>
      <c r="D16" s="10" t="n"/>
      <c r="E16" s="9" t="inlineStr"/>
    </row>
    <row r="17">
      <c r="A17" s="9" t="inlineStr"/>
      <c r="B17" s="9" t="inlineStr"/>
      <c r="C17" s="10" t="n"/>
      <c r="D17" s="10" t="n"/>
      <c r="E17" s="9" t="inlineStr"/>
    </row>
    <row r="18">
      <c r="A18" s="9" t="inlineStr"/>
      <c r="B18" s="9" t="inlineStr"/>
      <c r="C18" s="10" t="n"/>
      <c r="D18" s="10" t="n"/>
      <c r="E18" s="9" t="inlineStr"/>
    </row>
    <row r="19">
      <c r="A19" s="9" t="inlineStr"/>
      <c r="B19" s="9" t="inlineStr"/>
      <c r="C19" s="10" t="n"/>
      <c r="D19" s="10" t="n"/>
      <c r="E19" s="9" t="inlineStr"/>
    </row>
    <row r="20">
      <c r="A20" s="9" t="inlineStr"/>
      <c r="B20" s="9" t="inlineStr"/>
      <c r="C20" s="10" t="n"/>
      <c r="D20" s="10" t="n"/>
      <c r="E20" s="9" t="inlineStr"/>
    </row>
    <row r="21">
      <c r="A21" s="9" t="inlineStr"/>
      <c r="B21" s="9" t="inlineStr"/>
      <c r="C21" s="10" t="n"/>
      <c r="D21" s="10" t="n"/>
      <c r="E21" s="9" t="inlineStr"/>
    </row>
    <row r="22">
      <c r="A22" s="9" t="inlineStr"/>
      <c r="B22" s="9" t="inlineStr"/>
      <c r="C22" s="10" t="n"/>
      <c r="D22" s="10" t="n"/>
      <c r="E22" s="9" t="inlineStr"/>
    </row>
    <row r="23">
      <c r="A23" s="9" t="inlineStr"/>
      <c r="B23" s="9" t="inlineStr"/>
      <c r="C23" s="10" t="n"/>
      <c r="D23" s="10" t="n"/>
      <c r="E23" s="9" t="inlineStr"/>
    </row>
    <row r="24">
      <c r="A24" s="9" t="inlineStr"/>
      <c r="B24" s="9" t="inlineStr"/>
      <c r="C24" s="10" t="n"/>
      <c r="D24" s="10" t="n"/>
      <c r="E24" s="9" t="inlineStr"/>
    </row>
    <row r="25">
      <c r="A25" s="9" t="inlineStr"/>
      <c r="B25" s="9" t="inlineStr"/>
      <c r="C25" s="10" t="n"/>
      <c r="D25" s="10" t="n"/>
      <c r="E25" s="9" t="inlineStr"/>
    </row>
    <row r="26">
      <c r="A26" s="9" t="inlineStr"/>
      <c r="B26" s="9" t="inlineStr"/>
      <c r="C26" s="10" t="n"/>
      <c r="D26" s="10" t="n"/>
      <c r="E26" s="9" t="inlineStr"/>
    </row>
    <row r="27">
      <c r="A27" s="9" t="inlineStr"/>
      <c r="B27" s="9" t="inlineStr"/>
      <c r="C27" s="10" t="n"/>
      <c r="D27" s="10" t="n"/>
      <c r="E27" s="9" t="inlineStr"/>
    </row>
    <row r="28">
      <c r="A28" s="9" t="inlineStr"/>
      <c r="B28" s="9" t="inlineStr"/>
      <c r="C28" s="10" t="n"/>
      <c r="D28" s="10" t="n"/>
      <c r="E28" s="9" t="inlineStr"/>
    </row>
    <row r="29">
      <c r="A29" s="9" t="inlineStr"/>
      <c r="B29" s="9" t="inlineStr"/>
      <c r="C29" s="10" t="n"/>
      <c r="D29" s="10" t="n"/>
      <c r="E29" s="9" t="inlineStr"/>
    </row>
    <row r="30">
      <c r="A30" s="9" t="inlineStr"/>
      <c r="B30" s="9" t="inlineStr"/>
      <c r="C30" s="10" t="n"/>
      <c r="D30" s="10" t="n"/>
      <c r="E30" s="9" t="inlineStr"/>
    </row>
    <row r="31">
      <c r="A31" s="9" t="inlineStr"/>
      <c r="B31" s="9" t="inlineStr"/>
      <c r="C31" s="10" t="n"/>
      <c r="D31" s="10" t="n"/>
      <c r="E31" s="9" t="inlineStr"/>
    </row>
    <row r="32">
      <c r="A32" s="9" t="inlineStr"/>
      <c r="B32" s="9" t="inlineStr"/>
      <c r="C32" s="10" t="n"/>
      <c r="D32" s="10" t="n"/>
      <c r="E32" s="9" t="inlineStr"/>
    </row>
    <row r="33">
      <c r="A33" s="9" t="inlineStr"/>
      <c r="B33" s="9" t="inlineStr"/>
      <c r="C33" s="10" t="n"/>
      <c r="D33" s="10" t="n"/>
      <c r="E33" s="9" t="inlineStr"/>
    </row>
    <row r="34">
      <c r="A34" s="9" t="inlineStr"/>
      <c r="B34" s="9" t="inlineStr"/>
      <c r="C34" s="10" t="n"/>
      <c r="D34" s="10" t="n"/>
      <c r="E34" s="9" t="inlineStr"/>
    </row>
    <row r="35">
      <c r="A35" s="9" t="inlineStr"/>
      <c r="B35" s="9" t="inlineStr"/>
      <c r="C35" s="10" t="n"/>
      <c r="D35" s="10" t="n"/>
      <c r="E35" s="9" t="inlineStr"/>
    </row>
    <row r="36">
      <c r="A36" s="9" t="inlineStr"/>
      <c r="B36" s="9" t="inlineStr"/>
      <c r="C36" s="10" t="n"/>
      <c r="D36" s="10" t="n"/>
      <c r="E36" s="9" t="inlineStr"/>
    </row>
    <row r="37">
      <c r="A37" s="9" t="inlineStr"/>
      <c r="B37" s="9" t="inlineStr"/>
      <c r="C37" s="10" t="n"/>
      <c r="D37" s="10" t="n"/>
      <c r="E37" s="9" t="inlineStr"/>
    </row>
    <row r="38">
      <c r="A38" s="9" t="inlineStr"/>
      <c r="B38" s="9" t="inlineStr"/>
      <c r="C38" s="10" t="n"/>
      <c r="D38" s="10" t="n"/>
      <c r="E38" s="9" t="inlineStr"/>
    </row>
    <row r="39">
      <c r="A39" s="9" t="inlineStr"/>
      <c r="B39" s="9" t="inlineStr"/>
      <c r="C39" s="10" t="n"/>
      <c r="D39" s="10" t="n"/>
      <c r="E39" s="9" t="inlineStr"/>
    </row>
    <row r="40">
      <c r="A40" s="9" t="inlineStr"/>
      <c r="B40" s="9" t="inlineStr"/>
      <c r="C40" s="10" t="n"/>
      <c r="D40" s="10" t="n"/>
      <c r="E40" s="9" t="inlineStr"/>
    </row>
    <row r="41">
      <c r="A41" s="9" t="inlineStr"/>
      <c r="B41" s="9" t="inlineStr"/>
      <c r="C41" s="10" t="n"/>
      <c r="D41" s="10" t="n"/>
      <c r="E41" s="9" t="inlineStr"/>
    </row>
    <row r="42">
      <c r="A42" s="9" t="inlineStr"/>
      <c r="B42" s="9" t="inlineStr"/>
      <c r="C42" s="10" t="n"/>
      <c r="D42" s="10" t="n"/>
      <c r="E42" s="9" t="inlineStr"/>
    </row>
    <row r="43">
      <c r="A43" s="9" t="inlineStr"/>
      <c r="B43" s="9" t="inlineStr"/>
      <c r="C43" s="10" t="n"/>
      <c r="D43" s="10" t="n"/>
      <c r="E43" s="9" t="inlineStr"/>
    </row>
    <row r="44">
      <c r="A44" s="9" t="inlineStr"/>
      <c r="B44" s="9" t="inlineStr"/>
      <c r="C44" s="10" t="n"/>
      <c r="D44" s="10" t="n"/>
      <c r="E44" s="9" t="inlineStr"/>
    </row>
    <row r="45">
      <c r="A45" s="9" t="inlineStr"/>
      <c r="B45" s="9" t="inlineStr"/>
      <c r="C45" s="10" t="n"/>
      <c r="D45" s="10" t="n"/>
      <c r="E45" s="9" t="inlineStr"/>
    </row>
    <row r="46">
      <c r="A46" s="9" t="inlineStr"/>
      <c r="B46" s="9" t="inlineStr"/>
      <c r="C46" s="10" t="n"/>
      <c r="D46" s="10" t="n"/>
      <c r="E46" s="9" t="inlineStr"/>
    </row>
    <row r="47">
      <c r="A47" s="9" t="inlineStr"/>
      <c r="B47" s="9" t="inlineStr"/>
      <c r="C47" s="10" t="n"/>
      <c r="D47" s="10" t="n"/>
      <c r="E47" s="9" t="inlineStr"/>
    </row>
    <row r="48">
      <c r="A48" s="9" t="inlineStr"/>
      <c r="B48" s="9" t="inlineStr"/>
      <c r="C48" s="10" t="n"/>
      <c r="D48" s="10" t="n"/>
      <c r="E48" s="9" t="inlineStr"/>
    </row>
    <row r="49">
      <c r="A49" s="9" t="inlineStr"/>
      <c r="B49" s="9" t="inlineStr"/>
      <c r="C49" s="10" t="n"/>
      <c r="D49" s="10" t="n"/>
      <c r="E49" s="9" t="inlineStr"/>
    </row>
    <row r="50">
      <c r="A50" s="9" t="inlineStr"/>
      <c r="B50" s="9" t="inlineStr"/>
      <c r="C50" s="10" t="n"/>
      <c r="D50" s="10" t="n"/>
      <c r="E50" s="9" t="inlineStr"/>
    </row>
    <row r="51">
      <c r="A51" s="9" t="inlineStr"/>
      <c r="B51" s="9" t="inlineStr"/>
      <c r="C51" s="10" t="n"/>
      <c r="D51" s="10" t="n"/>
      <c r="E51" s="9" t="inlineStr"/>
    </row>
    <row r="52">
      <c r="A52" s="9" t="inlineStr"/>
      <c r="B52" s="9" t="inlineStr"/>
      <c r="C52" s="10" t="n"/>
      <c r="D52" s="10" t="n"/>
      <c r="E52" s="9" t="inlineStr"/>
    </row>
    <row r="53">
      <c r="A53" s="9" t="inlineStr"/>
      <c r="B53" s="9" t="inlineStr"/>
      <c r="C53" s="10" t="n"/>
      <c r="D53" s="10" t="n"/>
      <c r="E53" s="9" t="inlineStr"/>
    </row>
    <row r="54">
      <c r="A54" s="9" t="inlineStr"/>
      <c r="B54" s="9" t="inlineStr"/>
      <c r="C54" s="10" t="n"/>
      <c r="D54" s="10" t="n"/>
      <c r="E54" s="9" t="inlineStr"/>
    </row>
    <row r="55">
      <c r="A55" s="9" t="inlineStr"/>
      <c r="B55" s="9" t="inlineStr"/>
      <c r="C55" s="10" t="n"/>
      <c r="D55" s="10" t="n"/>
      <c r="E55" s="9" t="inlineStr"/>
    </row>
    <row r="56">
      <c r="A56" s="9" t="inlineStr"/>
      <c r="B56" s="9" t="inlineStr"/>
      <c r="C56" s="10" t="n"/>
      <c r="D56" s="10" t="n"/>
      <c r="E56" s="9" t="inlineStr"/>
    </row>
    <row r="57">
      <c r="A57" s="9" t="inlineStr"/>
      <c r="B57" s="9" t="inlineStr"/>
      <c r="C57" s="10" t="n"/>
      <c r="D57" s="10" t="n"/>
      <c r="E57" s="9" t="inlineStr"/>
    </row>
    <row r="58">
      <c r="A58" s="9" t="inlineStr"/>
      <c r="B58" s="9" t="inlineStr"/>
      <c r="C58" s="10" t="n"/>
      <c r="D58" s="10" t="n"/>
      <c r="E58" s="9" t="inlineStr"/>
    </row>
    <row r="59">
      <c r="A59" s="9" t="inlineStr"/>
      <c r="B59" s="9" t="inlineStr"/>
      <c r="C59" s="10" t="n"/>
      <c r="D59" s="10" t="n"/>
      <c r="E59" s="9" t="inlineStr"/>
    </row>
    <row r="60">
      <c r="A60" s="9" t="inlineStr"/>
      <c r="B60" s="9" t="inlineStr"/>
      <c r="C60" s="10" t="n"/>
      <c r="D60" s="10" t="n"/>
      <c r="E60" s="9" t="inlineStr"/>
    </row>
    <row r="61">
      <c r="A61" s="9" t="inlineStr"/>
      <c r="B61" s="9" t="inlineStr"/>
      <c r="C61" s="10" t="n"/>
      <c r="D61" s="10" t="n"/>
      <c r="E61" s="9" t="inlineStr"/>
    </row>
    <row r="62">
      <c r="A62" s="9" t="inlineStr"/>
      <c r="B62" s="9" t="inlineStr"/>
      <c r="C62" s="10" t="n"/>
      <c r="D62" s="10" t="n"/>
      <c r="E62" s="9" t="inlineStr"/>
    </row>
    <row r="63">
      <c r="A63" s="9" t="inlineStr"/>
      <c r="B63" s="9" t="inlineStr"/>
      <c r="C63" s="10" t="n"/>
      <c r="D63" s="10" t="n"/>
      <c r="E63" s="9" t="inlineStr"/>
    </row>
    <row r="64">
      <c r="A64" s="9" t="inlineStr"/>
      <c r="B64" s="9" t="inlineStr"/>
      <c r="C64" s="10" t="n"/>
      <c r="D64" s="10" t="n"/>
      <c r="E64" s="9" t="inlineStr"/>
    </row>
    <row r="65">
      <c r="A65" s="9" t="inlineStr"/>
      <c r="B65" s="9" t="inlineStr"/>
      <c r="C65" s="10" t="n"/>
      <c r="D65" s="10" t="n"/>
      <c r="E65" s="9" t="inlineStr"/>
    </row>
    <row r="66">
      <c r="A66" s="9" t="inlineStr"/>
      <c r="B66" s="9" t="inlineStr"/>
      <c r="C66" s="10" t="n"/>
      <c r="D66" s="10" t="n"/>
      <c r="E66" s="9" t="inlineStr"/>
    </row>
    <row r="67">
      <c r="A67" s="9" t="inlineStr"/>
      <c r="B67" s="9" t="inlineStr"/>
      <c r="C67" s="10" t="n"/>
      <c r="D67" s="10" t="n"/>
      <c r="E67" s="9" t="inlineStr"/>
    </row>
    <row r="68">
      <c r="A68" s="9" t="inlineStr"/>
      <c r="B68" s="9" t="inlineStr"/>
      <c r="C68" s="10" t="n"/>
      <c r="D68" s="10" t="n"/>
      <c r="E68" s="9" t="inlineStr"/>
    </row>
    <row r="69">
      <c r="A69" s="9" t="inlineStr"/>
      <c r="B69" s="9" t="inlineStr"/>
      <c r="C69" s="10" t="n"/>
      <c r="D69" s="10" t="n"/>
      <c r="E69" s="9" t="inlineStr"/>
    </row>
    <row r="70">
      <c r="A70" s="9" t="inlineStr"/>
      <c r="B70" s="9" t="inlineStr"/>
      <c r="C70" s="10" t="n"/>
      <c r="D70" s="10" t="n"/>
      <c r="E70" s="9" t="inlineStr"/>
    </row>
    <row r="71">
      <c r="A71" s="9" t="inlineStr"/>
      <c r="B71" s="9" t="inlineStr"/>
      <c r="C71" s="10" t="n"/>
      <c r="D71" s="10" t="n"/>
      <c r="E71" s="9" t="inlineStr"/>
    </row>
    <row r="72">
      <c r="A72" s="9" t="inlineStr"/>
      <c r="B72" s="9" t="inlineStr"/>
      <c r="C72" s="10" t="n"/>
      <c r="D72" s="10" t="n"/>
      <c r="E72" s="9" t="inlineStr"/>
    </row>
    <row r="73">
      <c r="A73" s="9" t="inlineStr"/>
      <c r="B73" s="9" t="inlineStr"/>
      <c r="C73" s="10" t="n"/>
      <c r="D73" s="10" t="n"/>
      <c r="E73" s="9" t="inlineStr"/>
    </row>
    <row r="74">
      <c r="A74" s="9" t="inlineStr"/>
      <c r="B74" s="9" t="inlineStr"/>
      <c r="C74" s="10" t="n"/>
      <c r="D74" s="10" t="n"/>
      <c r="E74" s="9" t="inlineStr"/>
    </row>
    <row r="75">
      <c r="A75" s="9" t="inlineStr"/>
      <c r="B75" s="9" t="inlineStr"/>
      <c r="C75" s="10" t="n"/>
      <c r="D75" s="10" t="n"/>
      <c r="E75" s="9" t="inlineStr"/>
    </row>
    <row r="76">
      <c r="A76" s="9" t="inlineStr"/>
      <c r="B76" s="9" t="inlineStr"/>
      <c r="C76" s="10" t="n"/>
      <c r="D76" s="10" t="n"/>
      <c r="E76" s="9" t="inlineStr"/>
    </row>
    <row r="77">
      <c r="A77" s="9" t="inlineStr"/>
      <c r="B77" s="9" t="inlineStr"/>
      <c r="C77" s="10" t="n"/>
      <c r="D77" s="10" t="n"/>
      <c r="E77" s="9" t="inlineStr"/>
    </row>
    <row r="78">
      <c r="A78" s="9" t="inlineStr"/>
      <c r="B78" s="9" t="inlineStr"/>
      <c r="C78" s="10" t="n"/>
      <c r="D78" s="10" t="n"/>
      <c r="E78" s="9" t="inlineStr"/>
    </row>
    <row r="79">
      <c r="A79" s="9" t="inlineStr"/>
      <c r="B79" s="9" t="inlineStr"/>
      <c r="C79" s="10" t="n"/>
      <c r="D79" s="10" t="n"/>
      <c r="E79" s="9" t="inlineStr"/>
    </row>
    <row r="80">
      <c r="A80" s="9" t="inlineStr"/>
      <c r="B80" s="9" t="inlineStr"/>
      <c r="C80" s="10" t="n"/>
      <c r="D80" s="10" t="n"/>
      <c r="E80" s="9" t="inlineStr"/>
    </row>
    <row r="81">
      <c r="A81" s="9" t="inlineStr"/>
      <c r="B81" s="9" t="inlineStr"/>
      <c r="C81" s="10" t="n"/>
      <c r="D81" s="10" t="n"/>
      <c r="E81" s="9" t="inlineStr"/>
    </row>
    <row r="82">
      <c r="A82" s="9" t="inlineStr"/>
      <c r="B82" s="9" t="inlineStr"/>
      <c r="C82" s="10" t="n"/>
      <c r="D82" s="10" t="n"/>
      <c r="E82" s="9" t="inlineStr"/>
    </row>
    <row r="83">
      <c r="A83" s="9" t="inlineStr"/>
      <c r="B83" s="9" t="inlineStr"/>
      <c r="C83" s="10" t="n"/>
      <c r="D83" s="10" t="n"/>
      <c r="E83" s="9" t="inlineStr"/>
    </row>
    <row r="84">
      <c r="A84" s="9" t="inlineStr"/>
      <c r="B84" s="9" t="inlineStr"/>
      <c r="C84" s="10" t="n"/>
      <c r="D84" s="10" t="n"/>
      <c r="E84" s="9" t="inlineStr"/>
    </row>
    <row r="85">
      <c r="A85" s="9" t="inlineStr"/>
      <c r="B85" s="9" t="inlineStr"/>
      <c r="C85" s="10" t="n"/>
      <c r="D85" s="10" t="n"/>
      <c r="E85" s="9" t="inlineStr"/>
    </row>
    <row r="86">
      <c r="A86" s="9" t="inlineStr"/>
      <c r="B86" s="9" t="inlineStr"/>
      <c r="C86" s="10" t="n"/>
      <c r="D86" s="10" t="n"/>
      <c r="E86" s="9" t="inlineStr"/>
    </row>
    <row r="87">
      <c r="A87" s="9" t="inlineStr"/>
      <c r="B87" s="9" t="inlineStr"/>
      <c r="C87" s="10" t="n"/>
      <c r="D87" s="10" t="n"/>
      <c r="E87" s="9" t="inlineStr"/>
    </row>
    <row r="88">
      <c r="A88" s="9" t="inlineStr"/>
      <c r="B88" s="9" t="inlineStr"/>
      <c r="C88" s="10" t="n"/>
      <c r="D88" s="10" t="n"/>
      <c r="E88" s="9" t="inlineStr"/>
    </row>
    <row r="89">
      <c r="A89" s="9" t="inlineStr"/>
      <c r="B89" s="9" t="inlineStr"/>
      <c r="C89" s="10" t="n"/>
      <c r="D89" s="10" t="n"/>
      <c r="E89" s="9" t="inlineStr"/>
    </row>
    <row r="90">
      <c r="A90" s="9" t="inlineStr"/>
      <c r="B90" s="9" t="inlineStr"/>
      <c r="C90" s="10" t="n"/>
      <c r="D90" s="10" t="n"/>
      <c r="E90" s="9" t="inlineStr"/>
    </row>
    <row r="91">
      <c r="A91" s="9" t="inlineStr"/>
      <c r="B91" s="9" t="inlineStr"/>
      <c r="C91" s="10" t="n"/>
      <c r="D91" s="10" t="n"/>
      <c r="E91" s="9" t="inlineStr"/>
    </row>
    <row r="92">
      <c r="A92" s="9" t="inlineStr"/>
      <c r="B92" s="9" t="inlineStr"/>
      <c r="C92" s="10" t="n"/>
      <c r="D92" s="10" t="n"/>
      <c r="E92" s="9" t="inlineStr"/>
    </row>
    <row r="93">
      <c r="A93" s="9" t="inlineStr"/>
      <c r="B93" s="9" t="inlineStr"/>
      <c r="C93" s="10" t="n"/>
      <c r="D93" s="10" t="n"/>
      <c r="E93" s="9" t="inlineStr"/>
    </row>
    <row r="94">
      <c r="A94" s="9" t="inlineStr"/>
      <c r="B94" s="9" t="inlineStr"/>
      <c r="C94" s="10" t="n"/>
      <c r="D94" s="10" t="n"/>
      <c r="E94" s="9" t="inlineStr"/>
    </row>
    <row r="95">
      <c r="A95" s="9" t="inlineStr"/>
      <c r="B95" s="9" t="inlineStr"/>
      <c r="C95" s="10" t="n"/>
      <c r="D95" s="10" t="n"/>
      <c r="E95" s="9" t="inlineStr"/>
    </row>
    <row r="96">
      <c r="A96" s="9" t="inlineStr"/>
      <c r="B96" s="9" t="inlineStr"/>
      <c r="C96" s="10" t="n"/>
      <c r="D96" s="10" t="n"/>
      <c r="E96" s="9" t="inlineStr"/>
    </row>
    <row r="97">
      <c r="A97" s="9" t="inlineStr"/>
      <c r="B97" s="9" t="inlineStr"/>
      <c r="C97" s="10" t="n"/>
      <c r="D97" s="10" t="n"/>
      <c r="E97" s="9" t="inlineStr"/>
    </row>
    <row r="98">
      <c r="A98" s="9" t="inlineStr"/>
      <c r="B98" s="9" t="inlineStr"/>
      <c r="C98" s="10" t="n"/>
      <c r="D98" s="10" t="n"/>
      <c r="E98" s="9" t="inlineStr"/>
    </row>
    <row r="99">
      <c r="A99" s="9" t="inlineStr"/>
      <c r="B99" s="9" t="inlineStr"/>
      <c r="C99" s="10" t="n"/>
      <c r="D99" s="10" t="n"/>
      <c r="E99" s="9" t="inlineStr"/>
    </row>
    <row r="100">
      <c r="A100" s="9" t="inlineStr"/>
      <c r="B100" s="9" t="inlineStr"/>
      <c r="C100" s="10" t="n"/>
      <c r="D100" s="10" t="n"/>
      <c r="E100" s="9" t="inlineStr"/>
    </row>
    <row r="101">
      <c r="A101" s="9" t="inlineStr"/>
      <c r="B101" s="9" t="inlineStr"/>
      <c r="C101" s="10" t="n"/>
      <c r="D101" s="10" t="n"/>
      <c r="E101" s="9" t="inlineStr"/>
    </row>
    <row r="102">
      <c r="A102" s="9" t="inlineStr"/>
      <c r="B102" s="9" t="inlineStr"/>
      <c r="C102" s="10" t="n"/>
      <c r="D102" s="10" t="n"/>
      <c r="E102" s="9" t="inlineStr"/>
    </row>
    <row r="103">
      <c r="A103" s="9" t="inlineStr"/>
      <c r="B103" s="9" t="inlineStr"/>
      <c r="C103" s="10" t="n"/>
      <c r="D103" s="10" t="n"/>
      <c r="E103" s="9" t="inlineStr"/>
    </row>
    <row r="104">
      <c r="A104" s="9" t="inlineStr"/>
      <c r="B104" s="9" t="inlineStr"/>
      <c r="C104" s="10" t="n"/>
      <c r="D104" s="10" t="n"/>
      <c r="E104" s="9" t="inlineStr"/>
    </row>
    <row r="105">
      <c r="A105" s="9" t="inlineStr"/>
      <c r="B105" s="9" t="inlineStr"/>
      <c r="C105" s="10" t="n"/>
      <c r="D105" s="10" t="n"/>
      <c r="E105" s="9" t="inlineStr"/>
    </row>
    <row r="106">
      <c r="A106" s="9" t="inlineStr"/>
      <c r="B106" s="9" t="inlineStr"/>
      <c r="C106" s="10" t="n"/>
      <c r="D106" s="10" t="n"/>
      <c r="E106" s="9" t="inlineStr"/>
    </row>
    <row r="107">
      <c r="A107" s="9" t="inlineStr"/>
      <c r="B107" s="9" t="inlineStr"/>
      <c r="C107" s="10" t="n"/>
      <c r="D107" s="10" t="n"/>
      <c r="E107" s="9" t="inlineStr"/>
    </row>
    <row r="108">
      <c r="A108" s="9" t="inlineStr"/>
      <c r="B108" s="9" t="inlineStr"/>
      <c r="C108" s="10" t="n"/>
      <c r="D108" s="10" t="n"/>
      <c r="E108" s="9" t="inlineStr"/>
    </row>
    <row r="109">
      <c r="A109" s="9" t="inlineStr"/>
      <c r="B109" s="9" t="inlineStr"/>
      <c r="C109" s="10" t="n"/>
      <c r="D109" s="10" t="n"/>
      <c r="E109" s="9" t="inlineStr"/>
    </row>
    <row r="110">
      <c r="A110" s="9" t="inlineStr"/>
      <c r="B110" s="9" t="inlineStr"/>
      <c r="C110" s="10" t="n"/>
      <c r="D110" s="10" t="n"/>
      <c r="E110" s="9" t="inlineStr"/>
    </row>
    <row r="111">
      <c r="A111" s="9" t="inlineStr"/>
      <c r="B111" s="9" t="inlineStr"/>
      <c r="C111" s="10" t="n"/>
      <c r="D111" s="10" t="n"/>
      <c r="E111" s="9" t="inlineStr"/>
    </row>
    <row r="112">
      <c r="A112" s="9" t="inlineStr"/>
      <c r="B112" s="9" t="inlineStr"/>
      <c r="C112" s="10" t="n"/>
      <c r="D112" s="10" t="n"/>
      <c r="E112" s="9" t="inlineStr"/>
    </row>
    <row r="113">
      <c r="A113" s="9" t="inlineStr"/>
      <c r="B113" s="9" t="inlineStr"/>
      <c r="C113" s="10" t="n"/>
      <c r="D113" s="10" t="n"/>
      <c r="E113" s="9" t="inlineStr"/>
    </row>
    <row r="114">
      <c r="A114" s="9" t="inlineStr"/>
      <c r="B114" s="9" t="inlineStr"/>
      <c r="C114" s="10" t="n"/>
      <c r="D114" s="10" t="n"/>
      <c r="E114" s="9" t="inlineStr"/>
    </row>
    <row r="115">
      <c r="A115" s="9" t="inlineStr"/>
      <c r="B115" s="9" t="inlineStr"/>
      <c r="C115" s="10" t="n"/>
      <c r="D115" s="10" t="n"/>
      <c r="E115" s="9" t="inlineStr"/>
    </row>
    <row r="116">
      <c r="A116" s="9" t="inlineStr"/>
      <c r="B116" s="9" t="inlineStr"/>
      <c r="C116" s="10" t="n"/>
      <c r="D116" s="10" t="n"/>
      <c r="E116" s="9" t="inlineStr"/>
    </row>
    <row r="117">
      <c r="A117" s="9" t="inlineStr"/>
      <c r="B117" s="9" t="inlineStr"/>
      <c r="C117" s="10" t="n"/>
      <c r="D117" s="10" t="n"/>
      <c r="E117" s="9" t="inlineStr"/>
    </row>
    <row r="118">
      <c r="A118" s="9" t="inlineStr"/>
      <c r="B118" s="9" t="inlineStr"/>
      <c r="C118" s="10" t="n"/>
      <c r="D118" s="10" t="n"/>
      <c r="E118" s="9" t="inlineStr"/>
    </row>
    <row r="119">
      <c r="A119" s="9" t="inlineStr"/>
      <c r="B119" s="9" t="inlineStr"/>
      <c r="C119" s="10" t="n"/>
      <c r="D119" s="10" t="n"/>
      <c r="E119" s="9" t="inlineStr"/>
    </row>
    <row r="120">
      <c r="A120" s="9" t="inlineStr"/>
      <c r="B120" s="9" t="inlineStr"/>
      <c r="C120" s="10" t="n"/>
      <c r="D120" s="10" t="n"/>
      <c r="E120" s="9" t="inlineStr"/>
    </row>
    <row r="121">
      <c r="A121" s="9" t="inlineStr"/>
      <c r="B121" s="9" t="inlineStr"/>
      <c r="C121" s="10" t="n"/>
      <c r="D121" s="10" t="n"/>
      <c r="E121" s="9" t="inlineStr"/>
    </row>
  </sheetData>
  <dataValidations count="1">
    <dataValidation sqref="C2:D121" showDropDown="0" showInputMessage="0" showErrorMessage="1" allowBlank="1" errorTitle="Amount" error="Enter an amount in USD, 0 or more."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sheetPr>
  <dimension ref="A1:I6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2" customWidth="1" min="3" max="3"/>
    <col width="17" customWidth="1" min="4" max="4"/>
    <col width="12" customWidth="1" min="5" max="5"/>
    <col width="17" customWidth="1" min="6" max="6"/>
    <col width="34" customWidth="1" min="7" max="7"/>
  </cols>
  <sheetData>
    <row r="1">
      <c r="A1" s="1" t="inlineStr">
        <is>
          <t>Opportunity ID</t>
        </is>
      </c>
      <c r="B1" s="1" t="inlineStr">
        <is>
          <t>Report or deliverable</t>
        </is>
      </c>
      <c r="C1" s="1" t="inlineStr">
        <is>
          <t>First due</t>
        </is>
      </c>
      <c r="D1" s="1" t="inlineStr">
        <is>
          <t>Repeat every (days)</t>
        </is>
      </c>
      <c r="E1" s="1" t="inlineStr">
        <is>
          <t>Next due</t>
        </is>
      </c>
      <c r="F1" s="1" t="inlineStr">
        <is>
          <t>Status</t>
        </is>
      </c>
      <c r="G1" s="1" t="inlineStr">
        <is>
          <t>Notes</t>
        </is>
      </c>
      <c r="I1" s="2" t="inlineStr">
        <is>
          <t>Next due is computed from First due and Repeat every: it steps forward in whole intervals until it lands on or after today, so it never shows a date in the past. Leave First due blank and the cell asks you to fill it instead of guessing.</t>
        </is>
      </c>
    </row>
    <row r="2">
      <c r="A2" s="3" t="inlineStr">
        <is>
          <t>EX-003</t>
        </is>
      </c>
      <c r="B2" s="3" t="inlineStr">
        <is>
          <t>Annual narrative and financial report</t>
        </is>
      </c>
      <c r="C2" s="5" t="n">
        <v>46418</v>
      </c>
      <c r="D2" s="3" t="n">
        <v>365</v>
      </c>
      <c r="E2" s="12">
        <f>IF(OR($A2="",NOT(ISNUMBER($C2)),NOT(ISNUMBER($D2)),$D2&lt;=0),"Check first due and repeat days",$C2+MAX(0,ROUNDUP((TODAY()-$C2)/$D2,0))*$D2)</f>
        <v/>
      </c>
      <c r="F2" s="6">
        <f>IF($A2="","",IF(NOT(ISNUMBER($E2)),"CHECK INPUTS",IF($E2&lt;TODAY(),"OVERDUE "&amp;TODAY()-$E2&amp;" DAYS",IF($E2-TODAY()&lt;=30,"DUE IN "&amp;$E2-TODAY()&amp;" DAYS","OPEN"))))</f>
        <v/>
      </c>
      <c r="G2" s="3" t="inlineStr">
        <is>
          <t>EXAMPLE from the award letter</t>
        </is>
      </c>
    </row>
    <row r="3">
      <c r="A3" s="3" t="inlineStr">
        <is>
          <t>EX-003</t>
        </is>
      </c>
      <c r="B3" s="3" t="inlineStr">
        <is>
          <t>Quarterly program update</t>
        </is>
      </c>
      <c r="C3" s="5" t="n">
        <v>46371</v>
      </c>
      <c r="D3" s="3" t="n">
        <v>90</v>
      </c>
      <c r="E3" s="12">
        <f>IF(OR($A3="",NOT(ISNUMBER($C3)),NOT(ISNUMBER($D3)),$D3&lt;=0),"Check first due and repeat days",$C3+MAX(0,ROUNDUP((TODAY()-$C3)/$D3,0))*$D3)</f>
        <v/>
      </c>
      <c r="F3" s="6">
        <f>IF($A3="","",IF(NOT(ISNUMBER($E3)),"CHECK INPUTS",IF($E3&lt;TODAY(),"OVERDUE "&amp;TODAY()-$E3&amp;" DAYS",IF($E3-TODAY()&lt;=30,"DUE IN "&amp;$E3-TODAY()&amp;" DAYS","OPEN"))))</f>
        <v/>
      </c>
      <c r="G3" s="3" t="inlineStr">
        <is>
          <t>EXAMPLE quarterly</t>
        </is>
      </c>
    </row>
    <row r="4">
      <c r="A4" s="3" t="inlineStr">
        <is>
          <t>EX-003</t>
        </is>
      </c>
      <c r="B4" s="3" t="inlineStr">
        <is>
          <t>Final report</t>
        </is>
      </c>
      <c r="C4" s="5" t="n"/>
      <c r="D4" s="3" t="n">
        <v>365</v>
      </c>
      <c r="E4" s="12">
        <f>IF(OR($A4="",NOT(ISNUMBER($C4)),NOT(ISNUMBER($D4)),$D4&lt;=0),"Check first due and repeat days",$C4+MAX(0,ROUNDUP((TODAY()-$C4)/$D4,0))*$D4)</f>
        <v/>
      </c>
      <c r="F4" s="6">
        <f>IF($A4="","",IF(NOT(ISNUMBER($E4)),"CHECK INPUTS",IF($E4&lt;TODAY(),"OVERDUE "&amp;TODAY()-$E4&amp;" DAYS",IF($E4-TODAY()&lt;=30,"DUE IN "&amp;$E4-TODAY()&amp;" DAYS","OPEN"))))</f>
        <v/>
      </c>
      <c r="G4" s="3" t="inlineStr">
        <is>
          <t>EXAMPLE left blank on purpose so you can see the guard message</t>
        </is>
      </c>
    </row>
    <row r="5">
      <c r="A5" s="9" t="inlineStr"/>
      <c r="B5" s="9" t="inlineStr"/>
      <c r="C5" s="11" t="n"/>
      <c r="D5" s="9" t="n"/>
      <c r="E5" s="12">
        <f>IF(OR($A5="",NOT(ISNUMBER($C5)),NOT(ISNUMBER($D5)),$D5&lt;=0),"Check first due and repeat days",$C5+MAX(0,ROUNDUP((TODAY()-$C5)/$D5,0))*$D5)</f>
        <v/>
      </c>
      <c r="F5" s="6">
        <f>IF($A5="","",IF(NOT(ISNUMBER($E5)),"CHECK INPUTS",IF($E5&lt;TODAY(),"OVERDUE "&amp;TODAY()-$E5&amp;" DAYS",IF($E5-TODAY()&lt;=30,"DUE IN "&amp;$E5-TODAY()&amp;" DAYS","OPEN"))))</f>
        <v/>
      </c>
      <c r="G5" s="9" t="inlineStr"/>
    </row>
    <row r="6">
      <c r="A6" s="9" t="inlineStr"/>
      <c r="B6" s="9" t="inlineStr"/>
      <c r="C6" s="11" t="n"/>
      <c r="D6" s="9" t="n"/>
      <c r="E6" s="12">
        <f>IF(OR($A6="",NOT(ISNUMBER($C6)),NOT(ISNUMBER($D6)),$D6&lt;=0),"Check first due and repeat days",$C6+MAX(0,ROUNDUP((TODAY()-$C6)/$D6,0))*$D6)</f>
        <v/>
      </c>
      <c r="F6" s="6">
        <f>IF($A6="","",IF(NOT(ISNUMBER($E6)),"CHECK INPUTS",IF($E6&lt;TODAY(),"OVERDUE "&amp;TODAY()-$E6&amp;" DAYS",IF($E6-TODAY()&lt;=30,"DUE IN "&amp;$E6-TODAY()&amp;" DAYS","OPEN"))))</f>
        <v/>
      </c>
      <c r="G6" s="9" t="inlineStr"/>
    </row>
    <row r="7">
      <c r="A7" s="9" t="inlineStr"/>
      <c r="B7" s="9" t="inlineStr"/>
      <c r="C7" s="11" t="n"/>
      <c r="D7" s="9" t="n"/>
      <c r="E7" s="12">
        <f>IF(OR($A7="",NOT(ISNUMBER($C7)),NOT(ISNUMBER($D7)),$D7&lt;=0),"Check first due and repeat days",$C7+MAX(0,ROUNDUP((TODAY()-$C7)/$D7,0))*$D7)</f>
        <v/>
      </c>
      <c r="F7" s="6">
        <f>IF($A7="","",IF(NOT(ISNUMBER($E7)),"CHECK INPUTS",IF($E7&lt;TODAY(),"OVERDUE "&amp;TODAY()-$E7&amp;" DAYS",IF($E7-TODAY()&lt;=30,"DUE IN "&amp;$E7-TODAY()&amp;" DAYS","OPEN"))))</f>
        <v/>
      </c>
      <c r="G7" s="9" t="inlineStr"/>
    </row>
    <row r="8">
      <c r="A8" s="9" t="inlineStr"/>
      <c r="B8" s="9" t="inlineStr"/>
      <c r="C8" s="11" t="n"/>
      <c r="D8" s="9" t="n"/>
      <c r="E8" s="12">
        <f>IF(OR($A8="",NOT(ISNUMBER($C8)),NOT(ISNUMBER($D8)),$D8&lt;=0),"Check first due and repeat days",$C8+MAX(0,ROUNDUP((TODAY()-$C8)/$D8,0))*$D8)</f>
        <v/>
      </c>
      <c r="F8" s="6">
        <f>IF($A8="","",IF(NOT(ISNUMBER($E8)),"CHECK INPUTS",IF($E8&lt;TODAY(),"OVERDUE "&amp;TODAY()-$E8&amp;" DAYS",IF($E8-TODAY()&lt;=30,"DUE IN "&amp;$E8-TODAY()&amp;" DAYS","OPEN"))))</f>
        <v/>
      </c>
      <c r="G8" s="9" t="inlineStr"/>
    </row>
    <row r="9">
      <c r="A9" s="9" t="inlineStr"/>
      <c r="B9" s="9" t="inlineStr"/>
      <c r="C9" s="11" t="n"/>
      <c r="D9" s="9" t="n"/>
      <c r="E9" s="12">
        <f>IF(OR($A9="",NOT(ISNUMBER($C9)),NOT(ISNUMBER($D9)),$D9&lt;=0),"Check first due and repeat days",$C9+MAX(0,ROUNDUP((TODAY()-$C9)/$D9,0))*$D9)</f>
        <v/>
      </c>
      <c r="F9" s="6">
        <f>IF($A9="","",IF(NOT(ISNUMBER($E9)),"CHECK INPUTS",IF($E9&lt;TODAY(),"OVERDUE "&amp;TODAY()-$E9&amp;" DAYS",IF($E9-TODAY()&lt;=30,"DUE IN "&amp;$E9-TODAY()&amp;" DAYS","OPEN"))))</f>
        <v/>
      </c>
      <c r="G9" s="9" t="inlineStr"/>
    </row>
    <row r="10">
      <c r="A10" s="9" t="inlineStr"/>
      <c r="B10" s="9" t="inlineStr"/>
      <c r="C10" s="11" t="n"/>
      <c r="D10" s="9" t="n"/>
      <c r="E10" s="12">
        <f>IF(OR($A10="",NOT(ISNUMBER($C10)),NOT(ISNUMBER($D10)),$D10&lt;=0),"Check first due and repeat days",$C10+MAX(0,ROUNDUP((TODAY()-$C10)/$D10,0))*$D10)</f>
        <v/>
      </c>
      <c r="F10" s="6">
        <f>IF($A10="","",IF(NOT(ISNUMBER($E10)),"CHECK INPUTS",IF($E10&lt;TODAY(),"OVERDUE "&amp;TODAY()-$E10&amp;" DAYS",IF($E10-TODAY()&lt;=30,"DUE IN "&amp;$E10-TODAY()&amp;" DAYS","OPEN"))))</f>
        <v/>
      </c>
      <c r="G10" s="9" t="inlineStr"/>
    </row>
    <row r="11">
      <c r="A11" s="9" t="inlineStr"/>
      <c r="B11" s="9" t="inlineStr"/>
      <c r="C11" s="11" t="n"/>
      <c r="D11" s="9" t="n"/>
      <c r="E11" s="12">
        <f>IF(OR($A11="",NOT(ISNUMBER($C11)),NOT(ISNUMBER($D11)),$D11&lt;=0),"Check first due and repeat days",$C11+MAX(0,ROUNDUP((TODAY()-$C11)/$D11,0))*$D11)</f>
        <v/>
      </c>
      <c r="F11" s="6">
        <f>IF($A11="","",IF(NOT(ISNUMBER($E11)),"CHECK INPUTS",IF($E11&lt;TODAY(),"OVERDUE "&amp;TODAY()-$E11&amp;" DAYS",IF($E11-TODAY()&lt;=30,"DUE IN "&amp;$E11-TODAY()&amp;" DAYS","OPEN"))))</f>
        <v/>
      </c>
      <c r="G11" s="9" t="inlineStr"/>
    </row>
    <row r="12">
      <c r="A12" s="9" t="inlineStr"/>
      <c r="B12" s="9" t="inlineStr"/>
      <c r="C12" s="11" t="n"/>
      <c r="D12" s="9" t="n"/>
      <c r="E12" s="12">
        <f>IF(OR($A12="",NOT(ISNUMBER($C12)),NOT(ISNUMBER($D12)),$D12&lt;=0),"Check first due and repeat days",$C12+MAX(0,ROUNDUP((TODAY()-$C12)/$D12,0))*$D12)</f>
        <v/>
      </c>
      <c r="F12" s="6">
        <f>IF($A12="","",IF(NOT(ISNUMBER($E12)),"CHECK INPUTS",IF($E12&lt;TODAY(),"OVERDUE "&amp;TODAY()-$E12&amp;" DAYS",IF($E12-TODAY()&lt;=30,"DUE IN "&amp;$E12-TODAY()&amp;" DAYS","OPEN"))))</f>
        <v/>
      </c>
      <c r="G12" s="9" t="inlineStr"/>
    </row>
    <row r="13">
      <c r="A13" s="9" t="inlineStr"/>
      <c r="B13" s="9" t="inlineStr"/>
      <c r="C13" s="11" t="n"/>
      <c r="D13" s="9" t="n"/>
      <c r="E13" s="12">
        <f>IF(OR($A13="",NOT(ISNUMBER($C13)),NOT(ISNUMBER($D13)),$D13&lt;=0),"Check first due and repeat days",$C13+MAX(0,ROUNDUP((TODAY()-$C13)/$D13,0))*$D13)</f>
        <v/>
      </c>
      <c r="F13" s="6">
        <f>IF($A13="","",IF(NOT(ISNUMBER($E13)),"CHECK INPUTS",IF($E13&lt;TODAY(),"OVERDUE "&amp;TODAY()-$E13&amp;" DAYS",IF($E13-TODAY()&lt;=30,"DUE IN "&amp;$E13-TODAY()&amp;" DAYS","OPEN"))))</f>
        <v/>
      </c>
      <c r="G13" s="9" t="inlineStr"/>
    </row>
    <row r="14">
      <c r="A14" s="9" t="inlineStr"/>
      <c r="B14" s="9" t="inlineStr"/>
      <c r="C14" s="11" t="n"/>
      <c r="D14" s="9" t="n"/>
      <c r="E14" s="12">
        <f>IF(OR($A14="",NOT(ISNUMBER($C14)),NOT(ISNUMBER($D14)),$D14&lt;=0),"Check first due and repeat days",$C14+MAX(0,ROUNDUP((TODAY()-$C14)/$D14,0))*$D14)</f>
        <v/>
      </c>
      <c r="F14" s="6">
        <f>IF($A14="","",IF(NOT(ISNUMBER($E14)),"CHECK INPUTS",IF($E14&lt;TODAY(),"OVERDUE "&amp;TODAY()-$E14&amp;" DAYS",IF($E14-TODAY()&lt;=30,"DUE IN "&amp;$E14-TODAY()&amp;" DAYS","OPEN"))))</f>
        <v/>
      </c>
      <c r="G14" s="9" t="inlineStr"/>
    </row>
    <row r="15">
      <c r="A15" s="9" t="inlineStr"/>
      <c r="B15" s="9" t="inlineStr"/>
      <c r="C15" s="11" t="n"/>
      <c r="D15" s="9" t="n"/>
      <c r="E15" s="12">
        <f>IF(OR($A15="",NOT(ISNUMBER($C15)),NOT(ISNUMBER($D15)),$D15&lt;=0),"Check first due and repeat days",$C15+MAX(0,ROUNDUP((TODAY()-$C15)/$D15,0))*$D15)</f>
        <v/>
      </c>
      <c r="F15" s="6">
        <f>IF($A15="","",IF(NOT(ISNUMBER($E15)),"CHECK INPUTS",IF($E15&lt;TODAY(),"OVERDUE "&amp;TODAY()-$E15&amp;" DAYS",IF($E15-TODAY()&lt;=30,"DUE IN "&amp;$E15-TODAY()&amp;" DAYS","OPEN"))))</f>
        <v/>
      </c>
      <c r="G15" s="9" t="inlineStr"/>
    </row>
    <row r="16">
      <c r="A16" s="9" t="inlineStr"/>
      <c r="B16" s="9" t="inlineStr"/>
      <c r="C16" s="11" t="n"/>
      <c r="D16" s="9" t="n"/>
      <c r="E16" s="12">
        <f>IF(OR($A16="",NOT(ISNUMBER($C16)),NOT(ISNUMBER($D16)),$D16&lt;=0),"Check first due and repeat days",$C16+MAX(0,ROUNDUP((TODAY()-$C16)/$D16,0))*$D16)</f>
        <v/>
      </c>
      <c r="F16" s="6">
        <f>IF($A16="","",IF(NOT(ISNUMBER($E16)),"CHECK INPUTS",IF($E16&lt;TODAY(),"OVERDUE "&amp;TODAY()-$E16&amp;" DAYS",IF($E16-TODAY()&lt;=30,"DUE IN "&amp;$E16-TODAY()&amp;" DAYS","OPEN"))))</f>
        <v/>
      </c>
      <c r="G16" s="9" t="inlineStr"/>
    </row>
    <row r="17">
      <c r="A17" s="9" t="inlineStr"/>
      <c r="B17" s="9" t="inlineStr"/>
      <c r="C17" s="11" t="n"/>
      <c r="D17" s="9" t="n"/>
      <c r="E17" s="12">
        <f>IF(OR($A17="",NOT(ISNUMBER($C17)),NOT(ISNUMBER($D17)),$D17&lt;=0),"Check first due and repeat days",$C17+MAX(0,ROUNDUP((TODAY()-$C17)/$D17,0))*$D17)</f>
        <v/>
      </c>
      <c r="F17" s="6">
        <f>IF($A17="","",IF(NOT(ISNUMBER($E17)),"CHECK INPUTS",IF($E17&lt;TODAY(),"OVERDUE "&amp;TODAY()-$E17&amp;" DAYS",IF($E17-TODAY()&lt;=30,"DUE IN "&amp;$E17-TODAY()&amp;" DAYS","OPEN"))))</f>
        <v/>
      </c>
      <c r="G17" s="9" t="inlineStr"/>
    </row>
    <row r="18">
      <c r="A18" s="9" t="inlineStr"/>
      <c r="B18" s="9" t="inlineStr"/>
      <c r="C18" s="11" t="n"/>
      <c r="D18" s="9" t="n"/>
      <c r="E18" s="12">
        <f>IF(OR($A18="",NOT(ISNUMBER($C18)),NOT(ISNUMBER($D18)),$D18&lt;=0),"Check first due and repeat days",$C18+MAX(0,ROUNDUP((TODAY()-$C18)/$D18,0))*$D18)</f>
        <v/>
      </c>
      <c r="F18" s="6">
        <f>IF($A18="","",IF(NOT(ISNUMBER($E18)),"CHECK INPUTS",IF($E18&lt;TODAY(),"OVERDUE "&amp;TODAY()-$E18&amp;" DAYS",IF($E18-TODAY()&lt;=30,"DUE IN "&amp;$E18-TODAY()&amp;" DAYS","OPEN"))))</f>
        <v/>
      </c>
      <c r="G18" s="9" t="inlineStr"/>
    </row>
    <row r="19">
      <c r="A19" s="9" t="inlineStr"/>
      <c r="B19" s="9" t="inlineStr"/>
      <c r="C19" s="11" t="n"/>
      <c r="D19" s="9" t="n"/>
      <c r="E19" s="12">
        <f>IF(OR($A19="",NOT(ISNUMBER($C19)),NOT(ISNUMBER($D19)),$D19&lt;=0),"Check first due and repeat days",$C19+MAX(0,ROUNDUP((TODAY()-$C19)/$D19,0))*$D19)</f>
        <v/>
      </c>
      <c r="F19" s="6">
        <f>IF($A19="","",IF(NOT(ISNUMBER($E19)),"CHECK INPUTS",IF($E19&lt;TODAY(),"OVERDUE "&amp;TODAY()-$E19&amp;" DAYS",IF($E19-TODAY()&lt;=30,"DUE IN "&amp;$E19-TODAY()&amp;" DAYS","OPEN"))))</f>
        <v/>
      </c>
      <c r="G19" s="9" t="inlineStr"/>
    </row>
    <row r="20">
      <c r="A20" s="9" t="inlineStr"/>
      <c r="B20" s="9" t="inlineStr"/>
      <c r="C20" s="11" t="n"/>
      <c r="D20" s="9" t="n"/>
      <c r="E20" s="12">
        <f>IF(OR($A20="",NOT(ISNUMBER($C20)),NOT(ISNUMBER($D20)),$D20&lt;=0),"Check first due and repeat days",$C20+MAX(0,ROUNDUP((TODAY()-$C20)/$D20,0))*$D20)</f>
        <v/>
      </c>
      <c r="F20" s="6">
        <f>IF($A20="","",IF(NOT(ISNUMBER($E20)),"CHECK INPUTS",IF($E20&lt;TODAY(),"OVERDUE "&amp;TODAY()-$E20&amp;" DAYS",IF($E20-TODAY()&lt;=30,"DUE IN "&amp;$E20-TODAY()&amp;" DAYS","OPEN"))))</f>
        <v/>
      </c>
      <c r="G20" s="9" t="inlineStr"/>
    </row>
    <row r="21">
      <c r="A21" s="9" t="inlineStr"/>
      <c r="B21" s="9" t="inlineStr"/>
      <c r="C21" s="11" t="n"/>
      <c r="D21" s="9" t="n"/>
      <c r="E21" s="12">
        <f>IF(OR($A21="",NOT(ISNUMBER($C21)),NOT(ISNUMBER($D21)),$D21&lt;=0),"Check first due and repeat days",$C21+MAX(0,ROUNDUP((TODAY()-$C21)/$D21,0))*$D21)</f>
        <v/>
      </c>
      <c r="F21" s="6">
        <f>IF($A21="","",IF(NOT(ISNUMBER($E21)),"CHECK INPUTS",IF($E21&lt;TODAY(),"OVERDUE "&amp;TODAY()-$E21&amp;" DAYS",IF($E21-TODAY()&lt;=30,"DUE IN "&amp;$E21-TODAY()&amp;" DAYS","OPEN"))))</f>
        <v/>
      </c>
      <c r="G21" s="9" t="inlineStr"/>
    </row>
    <row r="22">
      <c r="A22" s="9" t="inlineStr"/>
      <c r="B22" s="9" t="inlineStr"/>
      <c r="C22" s="11" t="n"/>
      <c r="D22" s="9" t="n"/>
      <c r="E22" s="12">
        <f>IF(OR($A22="",NOT(ISNUMBER($C22)),NOT(ISNUMBER($D22)),$D22&lt;=0),"Check first due and repeat days",$C22+MAX(0,ROUNDUP((TODAY()-$C22)/$D22,0))*$D22)</f>
        <v/>
      </c>
      <c r="F22" s="6">
        <f>IF($A22="","",IF(NOT(ISNUMBER($E22)),"CHECK INPUTS",IF($E22&lt;TODAY(),"OVERDUE "&amp;TODAY()-$E22&amp;" DAYS",IF($E22-TODAY()&lt;=30,"DUE IN "&amp;$E22-TODAY()&amp;" DAYS","OPEN"))))</f>
        <v/>
      </c>
      <c r="G22" s="9" t="inlineStr"/>
    </row>
    <row r="23">
      <c r="A23" s="9" t="inlineStr"/>
      <c r="B23" s="9" t="inlineStr"/>
      <c r="C23" s="11" t="n"/>
      <c r="D23" s="9" t="n"/>
      <c r="E23" s="12">
        <f>IF(OR($A23="",NOT(ISNUMBER($C23)),NOT(ISNUMBER($D23)),$D23&lt;=0),"Check first due and repeat days",$C23+MAX(0,ROUNDUP((TODAY()-$C23)/$D23,0))*$D23)</f>
        <v/>
      </c>
      <c r="F23" s="6">
        <f>IF($A23="","",IF(NOT(ISNUMBER($E23)),"CHECK INPUTS",IF($E23&lt;TODAY(),"OVERDUE "&amp;TODAY()-$E23&amp;" DAYS",IF($E23-TODAY()&lt;=30,"DUE IN "&amp;$E23-TODAY()&amp;" DAYS","OPEN"))))</f>
        <v/>
      </c>
      <c r="G23" s="9" t="inlineStr"/>
    </row>
    <row r="24">
      <c r="A24" s="9" t="inlineStr"/>
      <c r="B24" s="9" t="inlineStr"/>
      <c r="C24" s="11" t="n"/>
      <c r="D24" s="9" t="n"/>
      <c r="E24" s="12">
        <f>IF(OR($A24="",NOT(ISNUMBER($C24)),NOT(ISNUMBER($D24)),$D24&lt;=0),"Check first due and repeat days",$C24+MAX(0,ROUNDUP((TODAY()-$C24)/$D24,0))*$D24)</f>
        <v/>
      </c>
      <c r="F24" s="6">
        <f>IF($A24="","",IF(NOT(ISNUMBER($E24)),"CHECK INPUTS",IF($E24&lt;TODAY(),"OVERDUE "&amp;TODAY()-$E24&amp;" DAYS",IF($E24-TODAY()&lt;=30,"DUE IN "&amp;$E24-TODAY()&amp;" DAYS","OPEN"))))</f>
        <v/>
      </c>
      <c r="G24" s="9" t="inlineStr"/>
    </row>
    <row r="25">
      <c r="A25" s="9" t="inlineStr"/>
      <c r="B25" s="9" t="inlineStr"/>
      <c r="C25" s="11" t="n"/>
      <c r="D25" s="9" t="n"/>
      <c r="E25" s="12">
        <f>IF(OR($A25="",NOT(ISNUMBER($C25)),NOT(ISNUMBER($D25)),$D25&lt;=0),"Check first due and repeat days",$C25+MAX(0,ROUNDUP((TODAY()-$C25)/$D25,0))*$D25)</f>
        <v/>
      </c>
      <c r="F25" s="6">
        <f>IF($A25="","",IF(NOT(ISNUMBER($E25)),"CHECK INPUTS",IF($E25&lt;TODAY(),"OVERDUE "&amp;TODAY()-$E25&amp;" DAYS",IF($E25-TODAY()&lt;=30,"DUE IN "&amp;$E25-TODAY()&amp;" DAYS","OPEN"))))</f>
        <v/>
      </c>
      <c r="G25" s="9" t="inlineStr"/>
    </row>
    <row r="26">
      <c r="A26" s="9" t="inlineStr"/>
      <c r="B26" s="9" t="inlineStr"/>
      <c r="C26" s="11" t="n"/>
      <c r="D26" s="9" t="n"/>
      <c r="E26" s="12">
        <f>IF(OR($A26="",NOT(ISNUMBER($C26)),NOT(ISNUMBER($D26)),$D26&lt;=0),"Check first due and repeat days",$C26+MAX(0,ROUNDUP((TODAY()-$C26)/$D26,0))*$D26)</f>
        <v/>
      </c>
      <c r="F26" s="6">
        <f>IF($A26="","",IF(NOT(ISNUMBER($E26)),"CHECK INPUTS",IF($E26&lt;TODAY(),"OVERDUE "&amp;TODAY()-$E26&amp;" DAYS",IF($E26-TODAY()&lt;=30,"DUE IN "&amp;$E26-TODAY()&amp;" DAYS","OPEN"))))</f>
        <v/>
      </c>
      <c r="G26" s="9" t="inlineStr"/>
    </row>
    <row r="27">
      <c r="A27" s="9" t="inlineStr"/>
      <c r="B27" s="9" t="inlineStr"/>
      <c r="C27" s="11" t="n"/>
      <c r="D27" s="9" t="n"/>
      <c r="E27" s="12">
        <f>IF(OR($A27="",NOT(ISNUMBER($C27)),NOT(ISNUMBER($D27)),$D27&lt;=0),"Check first due and repeat days",$C27+MAX(0,ROUNDUP((TODAY()-$C27)/$D27,0))*$D27)</f>
        <v/>
      </c>
      <c r="F27" s="6">
        <f>IF($A27="","",IF(NOT(ISNUMBER($E27)),"CHECK INPUTS",IF($E27&lt;TODAY(),"OVERDUE "&amp;TODAY()-$E27&amp;" DAYS",IF($E27-TODAY()&lt;=30,"DUE IN "&amp;$E27-TODAY()&amp;" DAYS","OPEN"))))</f>
        <v/>
      </c>
      <c r="G27" s="9" t="inlineStr"/>
    </row>
    <row r="28">
      <c r="A28" s="9" t="inlineStr"/>
      <c r="B28" s="9" t="inlineStr"/>
      <c r="C28" s="11" t="n"/>
      <c r="D28" s="9" t="n"/>
      <c r="E28" s="12">
        <f>IF(OR($A28="",NOT(ISNUMBER($C28)),NOT(ISNUMBER($D28)),$D28&lt;=0),"Check first due and repeat days",$C28+MAX(0,ROUNDUP((TODAY()-$C28)/$D28,0))*$D28)</f>
        <v/>
      </c>
      <c r="F28" s="6">
        <f>IF($A28="","",IF(NOT(ISNUMBER($E28)),"CHECK INPUTS",IF($E28&lt;TODAY(),"OVERDUE "&amp;TODAY()-$E28&amp;" DAYS",IF($E28-TODAY()&lt;=30,"DUE IN "&amp;$E28-TODAY()&amp;" DAYS","OPEN"))))</f>
        <v/>
      </c>
      <c r="G28" s="9" t="inlineStr"/>
    </row>
    <row r="29">
      <c r="A29" s="9" t="inlineStr"/>
      <c r="B29" s="9" t="inlineStr"/>
      <c r="C29" s="11" t="n"/>
      <c r="D29" s="9" t="n"/>
      <c r="E29" s="12">
        <f>IF(OR($A29="",NOT(ISNUMBER($C29)),NOT(ISNUMBER($D29)),$D29&lt;=0),"Check first due and repeat days",$C29+MAX(0,ROUNDUP((TODAY()-$C29)/$D29,0))*$D29)</f>
        <v/>
      </c>
      <c r="F29" s="6">
        <f>IF($A29="","",IF(NOT(ISNUMBER($E29)),"CHECK INPUTS",IF($E29&lt;TODAY(),"OVERDUE "&amp;TODAY()-$E29&amp;" DAYS",IF($E29-TODAY()&lt;=30,"DUE IN "&amp;$E29-TODAY()&amp;" DAYS","OPEN"))))</f>
        <v/>
      </c>
      <c r="G29" s="9" t="inlineStr"/>
    </row>
    <row r="30">
      <c r="A30" s="9" t="inlineStr"/>
      <c r="B30" s="9" t="inlineStr"/>
      <c r="C30" s="11" t="n"/>
      <c r="D30" s="9" t="n"/>
      <c r="E30" s="12">
        <f>IF(OR($A30="",NOT(ISNUMBER($C30)),NOT(ISNUMBER($D30)),$D30&lt;=0),"Check first due and repeat days",$C30+MAX(0,ROUNDUP((TODAY()-$C30)/$D30,0))*$D30)</f>
        <v/>
      </c>
      <c r="F30" s="6">
        <f>IF($A30="","",IF(NOT(ISNUMBER($E30)),"CHECK INPUTS",IF($E30&lt;TODAY(),"OVERDUE "&amp;TODAY()-$E30&amp;" DAYS",IF($E30-TODAY()&lt;=30,"DUE IN "&amp;$E30-TODAY()&amp;" DAYS","OPEN"))))</f>
        <v/>
      </c>
      <c r="G30" s="9" t="inlineStr"/>
    </row>
    <row r="31">
      <c r="A31" s="9" t="inlineStr"/>
      <c r="B31" s="9" t="inlineStr"/>
      <c r="C31" s="11" t="n"/>
      <c r="D31" s="9" t="n"/>
      <c r="E31" s="12">
        <f>IF(OR($A31="",NOT(ISNUMBER($C31)),NOT(ISNUMBER($D31)),$D31&lt;=0),"Check first due and repeat days",$C31+MAX(0,ROUNDUP((TODAY()-$C31)/$D31,0))*$D31)</f>
        <v/>
      </c>
      <c r="F31" s="6">
        <f>IF($A31="","",IF(NOT(ISNUMBER($E31)),"CHECK INPUTS",IF($E31&lt;TODAY(),"OVERDUE "&amp;TODAY()-$E31&amp;" DAYS",IF($E31-TODAY()&lt;=30,"DUE IN "&amp;$E31-TODAY()&amp;" DAYS","OPEN"))))</f>
        <v/>
      </c>
      <c r="G31" s="9" t="inlineStr"/>
    </row>
    <row r="32">
      <c r="A32" s="9" t="inlineStr"/>
      <c r="B32" s="9" t="inlineStr"/>
      <c r="C32" s="11" t="n"/>
      <c r="D32" s="9" t="n"/>
      <c r="E32" s="12">
        <f>IF(OR($A32="",NOT(ISNUMBER($C32)),NOT(ISNUMBER($D32)),$D32&lt;=0),"Check first due and repeat days",$C32+MAX(0,ROUNDUP((TODAY()-$C32)/$D32,0))*$D32)</f>
        <v/>
      </c>
      <c r="F32" s="6">
        <f>IF($A32="","",IF(NOT(ISNUMBER($E32)),"CHECK INPUTS",IF($E32&lt;TODAY(),"OVERDUE "&amp;TODAY()-$E32&amp;" DAYS",IF($E32-TODAY()&lt;=30,"DUE IN "&amp;$E32-TODAY()&amp;" DAYS","OPEN"))))</f>
        <v/>
      </c>
      <c r="G32" s="9" t="inlineStr"/>
    </row>
    <row r="33">
      <c r="A33" s="9" t="inlineStr"/>
      <c r="B33" s="9" t="inlineStr"/>
      <c r="C33" s="11" t="n"/>
      <c r="D33" s="9" t="n"/>
      <c r="E33" s="12">
        <f>IF(OR($A33="",NOT(ISNUMBER($C33)),NOT(ISNUMBER($D33)),$D33&lt;=0),"Check first due and repeat days",$C33+MAX(0,ROUNDUP((TODAY()-$C33)/$D33,0))*$D33)</f>
        <v/>
      </c>
      <c r="F33" s="6">
        <f>IF($A33="","",IF(NOT(ISNUMBER($E33)),"CHECK INPUTS",IF($E33&lt;TODAY(),"OVERDUE "&amp;TODAY()-$E33&amp;" DAYS",IF($E33-TODAY()&lt;=30,"DUE IN "&amp;$E33-TODAY()&amp;" DAYS","OPEN"))))</f>
        <v/>
      </c>
      <c r="G33" s="9" t="inlineStr"/>
    </row>
    <row r="34">
      <c r="A34" s="9" t="inlineStr"/>
      <c r="B34" s="9" t="inlineStr"/>
      <c r="C34" s="11" t="n"/>
      <c r="D34" s="9" t="n"/>
      <c r="E34" s="12">
        <f>IF(OR($A34="",NOT(ISNUMBER($C34)),NOT(ISNUMBER($D34)),$D34&lt;=0),"Check first due and repeat days",$C34+MAX(0,ROUNDUP((TODAY()-$C34)/$D34,0))*$D34)</f>
        <v/>
      </c>
      <c r="F34" s="6">
        <f>IF($A34="","",IF(NOT(ISNUMBER($E34)),"CHECK INPUTS",IF($E34&lt;TODAY(),"OVERDUE "&amp;TODAY()-$E34&amp;" DAYS",IF($E34-TODAY()&lt;=30,"DUE IN "&amp;$E34-TODAY()&amp;" DAYS","OPEN"))))</f>
        <v/>
      </c>
      <c r="G34" s="9" t="inlineStr"/>
    </row>
    <row r="35">
      <c r="A35" s="9" t="inlineStr"/>
      <c r="B35" s="9" t="inlineStr"/>
      <c r="C35" s="11" t="n"/>
      <c r="D35" s="9" t="n"/>
      <c r="E35" s="12">
        <f>IF(OR($A35="",NOT(ISNUMBER($C35)),NOT(ISNUMBER($D35)),$D35&lt;=0),"Check first due and repeat days",$C35+MAX(0,ROUNDUP((TODAY()-$C35)/$D35,0))*$D35)</f>
        <v/>
      </c>
      <c r="F35" s="6">
        <f>IF($A35="","",IF(NOT(ISNUMBER($E35)),"CHECK INPUTS",IF($E35&lt;TODAY(),"OVERDUE "&amp;TODAY()-$E35&amp;" DAYS",IF($E35-TODAY()&lt;=30,"DUE IN "&amp;$E35-TODAY()&amp;" DAYS","OPEN"))))</f>
        <v/>
      </c>
      <c r="G35" s="9" t="inlineStr"/>
    </row>
    <row r="36">
      <c r="A36" s="9" t="inlineStr"/>
      <c r="B36" s="9" t="inlineStr"/>
      <c r="C36" s="11" t="n"/>
      <c r="D36" s="9" t="n"/>
      <c r="E36" s="12">
        <f>IF(OR($A36="",NOT(ISNUMBER($C36)),NOT(ISNUMBER($D36)),$D36&lt;=0),"Check first due and repeat days",$C36+MAX(0,ROUNDUP((TODAY()-$C36)/$D36,0))*$D36)</f>
        <v/>
      </c>
      <c r="F36" s="6">
        <f>IF($A36="","",IF(NOT(ISNUMBER($E36)),"CHECK INPUTS",IF($E36&lt;TODAY(),"OVERDUE "&amp;TODAY()-$E36&amp;" DAYS",IF($E36-TODAY()&lt;=30,"DUE IN "&amp;$E36-TODAY()&amp;" DAYS","OPEN"))))</f>
        <v/>
      </c>
      <c r="G36" s="9" t="inlineStr"/>
    </row>
    <row r="37">
      <c r="A37" s="9" t="inlineStr"/>
      <c r="B37" s="9" t="inlineStr"/>
      <c r="C37" s="11" t="n"/>
      <c r="D37" s="9" t="n"/>
      <c r="E37" s="12">
        <f>IF(OR($A37="",NOT(ISNUMBER($C37)),NOT(ISNUMBER($D37)),$D37&lt;=0),"Check first due and repeat days",$C37+MAX(0,ROUNDUP((TODAY()-$C37)/$D37,0))*$D37)</f>
        <v/>
      </c>
      <c r="F37" s="6">
        <f>IF($A37="","",IF(NOT(ISNUMBER($E37)),"CHECK INPUTS",IF($E37&lt;TODAY(),"OVERDUE "&amp;TODAY()-$E37&amp;" DAYS",IF($E37-TODAY()&lt;=30,"DUE IN "&amp;$E37-TODAY()&amp;" DAYS","OPEN"))))</f>
        <v/>
      </c>
      <c r="G37" s="9" t="inlineStr"/>
    </row>
    <row r="38">
      <c r="A38" s="9" t="inlineStr"/>
      <c r="B38" s="9" t="inlineStr"/>
      <c r="C38" s="11" t="n"/>
      <c r="D38" s="9" t="n"/>
      <c r="E38" s="12">
        <f>IF(OR($A38="",NOT(ISNUMBER($C38)),NOT(ISNUMBER($D38)),$D38&lt;=0),"Check first due and repeat days",$C38+MAX(0,ROUNDUP((TODAY()-$C38)/$D38,0))*$D38)</f>
        <v/>
      </c>
      <c r="F38" s="6">
        <f>IF($A38="","",IF(NOT(ISNUMBER($E38)),"CHECK INPUTS",IF($E38&lt;TODAY(),"OVERDUE "&amp;TODAY()-$E38&amp;" DAYS",IF($E38-TODAY()&lt;=30,"DUE IN "&amp;$E38-TODAY()&amp;" DAYS","OPEN"))))</f>
        <v/>
      </c>
      <c r="G38" s="9" t="inlineStr"/>
    </row>
    <row r="39">
      <c r="A39" s="9" t="inlineStr"/>
      <c r="B39" s="9" t="inlineStr"/>
      <c r="C39" s="11" t="n"/>
      <c r="D39" s="9" t="n"/>
      <c r="E39" s="12">
        <f>IF(OR($A39="",NOT(ISNUMBER($C39)),NOT(ISNUMBER($D39)),$D39&lt;=0),"Check first due and repeat days",$C39+MAX(0,ROUNDUP((TODAY()-$C39)/$D39,0))*$D39)</f>
        <v/>
      </c>
      <c r="F39" s="6">
        <f>IF($A39="","",IF(NOT(ISNUMBER($E39)),"CHECK INPUTS",IF($E39&lt;TODAY(),"OVERDUE "&amp;TODAY()-$E39&amp;" DAYS",IF($E39-TODAY()&lt;=30,"DUE IN "&amp;$E39-TODAY()&amp;" DAYS","OPEN"))))</f>
        <v/>
      </c>
      <c r="G39" s="9" t="inlineStr"/>
    </row>
    <row r="40">
      <c r="A40" s="9" t="inlineStr"/>
      <c r="B40" s="9" t="inlineStr"/>
      <c r="C40" s="11" t="n"/>
      <c r="D40" s="9" t="n"/>
      <c r="E40" s="12">
        <f>IF(OR($A40="",NOT(ISNUMBER($C40)),NOT(ISNUMBER($D40)),$D40&lt;=0),"Check first due and repeat days",$C40+MAX(0,ROUNDUP((TODAY()-$C40)/$D40,0))*$D40)</f>
        <v/>
      </c>
      <c r="F40" s="6">
        <f>IF($A40="","",IF(NOT(ISNUMBER($E40)),"CHECK INPUTS",IF($E40&lt;TODAY(),"OVERDUE "&amp;TODAY()-$E40&amp;" DAYS",IF($E40-TODAY()&lt;=30,"DUE IN "&amp;$E40-TODAY()&amp;" DAYS","OPEN"))))</f>
        <v/>
      </c>
      <c r="G40" s="9" t="inlineStr"/>
    </row>
    <row r="41">
      <c r="A41" s="9" t="inlineStr"/>
      <c r="B41" s="9" t="inlineStr"/>
      <c r="C41" s="11" t="n"/>
      <c r="D41" s="9" t="n"/>
      <c r="E41" s="12">
        <f>IF(OR($A41="",NOT(ISNUMBER($C41)),NOT(ISNUMBER($D41)),$D41&lt;=0),"Check first due and repeat days",$C41+MAX(0,ROUNDUP((TODAY()-$C41)/$D41,0))*$D41)</f>
        <v/>
      </c>
      <c r="F41" s="6">
        <f>IF($A41="","",IF(NOT(ISNUMBER($E41)),"CHECK INPUTS",IF($E41&lt;TODAY(),"OVERDUE "&amp;TODAY()-$E41&amp;" DAYS",IF($E41-TODAY()&lt;=30,"DUE IN "&amp;$E41-TODAY()&amp;" DAYS","OPEN"))))</f>
        <v/>
      </c>
      <c r="G41" s="9" t="inlineStr"/>
    </row>
    <row r="42">
      <c r="A42" s="9" t="inlineStr"/>
      <c r="B42" s="9" t="inlineStr"/>
      <c r="C42" s="11" t="n"/>
      <c r="D42" s="9" t="n"/>
      <c r="E42" s="12">
        <f>IF(OR($A42="",NOT(ISNUMBER($C42)),NOT(ISNUMBER($D42)),$D42&lt;=0),"Check first due and repeat days",$C42+MAX(0,ROUNDUP((TODAY()-$C42)/$D42,0))*$D42)</f>
        <v/>
      </c>
      <c r="F42" s="6">
        <f>IF($A42="","",IF(NOT(ISNUMBER($E42)),"CHECK INPUTS",IF($E42&lt;TODAY(),"OVERDUE "&amp;TODAY()-$E42&amp;" DAYS",IF($E42-TODAY()&lt;=30,"DUE IN "&amp;$E42-TODAY()&amp;" DAYS","OPEN"))))</f>
        <v/>
      </c>
      <c r="G42" s="9" t="inlineStr"/>
    </row>
    <row r="43">
      <c r="A43" s="9" t="inlineStr"/>
      <c r="B43" s="9" t="inlineStr"/>
      <c r="C43" s="11" t="n"/>
      <c r="D43" s="9" t="n"/>
      <c r="E43" s="12">
        <f>IF(OR($A43="",NOT(ISNUMBER($C43)),NOT(ISNUMBER($D43)),$D43&lt;=0),"Check first due and repeat days",$C43+MAX(0,ROUNDUP((TODAY()-$C43)/$D43,0))*$D43)</f>
        <v/>
      </c>
      <c r="F43" s="6">
        <f>IF($A43="","",IF(NOT(ISNUMBER($E43)),"CHECK INPUTS",IF($E43&lt;TODAY(),"OVERDUE "&amp;TODAY()-$E43&amp;" DAYS",IF($E43-TODAY()&lt;=30,"DUE IN "&amp;$E43-TODAY()&amp;" DAYS","OPEN"))))</f>
        <v/>
      </c>
      <c r="G43" s="9" t="inlineStr"/>
    </row>
    <row r="44">
      <c r="A44" s="9" t="inlineStr"/>
      <c r="B44" s="9" t="inlineStr"/>
      <c r="C44" s="11" t="n"/>
      <c r="D44" s="9" t="n"/>
      <c r="E44" s="12">
        <f>IF(OR($A44="",NOT(ISNUMBER($C44)),NOT(ISNUMBER($D44)),$D44&lt;=0),"Check first due and repeat days",$C44+MAX(0,ROUNDUP((TODAY()-$C44)/$D44,0))*$D44)</f>
        <v/>
      </c>
      <c r="F44" s="6">
        <f>IF($A44="","",IF(NOT(ISNUMBER($E44)),"CHECK INPUTS",IF($E44&lt;TODAY(),"OVERDUE "&amp;TODAY()-$E44&amp;" DAYS",IF($E44-TODAY()&lt;=30,"DUE IN "&amp;$E44-TODAY()&amp;" DAYS","OPEN"))))</f>
        <v/>
      </c>
      <c r="G44" s="9" t="inlineStr"/>
    </row>
    <row r="45">
      <c r="A45" s="9" t="inlineStr"/>
      <c r="B45" s="9" t="inlineStr"/>
      <c r="C45" s="11" t="n"/>
      <c r="D45" s="9" t="n"/>
      <c r="E45" s="12">
        <f>IF(OR($A45="",NOT(ISNUMBER($C45)),NOT(ISNUMBER($D45)),$D45&lt;=0),"Check first due and repeat days",$C45+MAX(0,ROUNDUP((TODAY()-$C45)/$D45,0))*$D45)</f>
        <v/>
      </c>
      <c r="F45" s="6">
        <f>IF($A45="","",IF(NOT(ISNUMBER($E45)),"CHECK INPUTS",IF($E45&lt;TODAY(),"OVERDUE "&amp;TODAY()-$E45&amp;" DAYS",IF($E45-TODAY()&lt;=30,"DUE IN "&amp;$E45-TODAY()&amp;" DAYS","OPEN"))))</f>
        <v/>
      </c>
      <c r="G45" s="9" t="inlineStr"/>
    </row>
    <row r="46">
      <c r="A46" s="9" t="inlineStr"/>
      <c r="B46" s="9" t="inlineStr"/>
      <c r="C46" s="11" t="n"/>
      <c r="D46" s="9" t="n"/>
      <c r="E46" s="12">
        <f>IF(OR($A46="",NOT(ISNUMBER($C46)),NOT(ISNUMBER($D46)),$D46&lt;=0),"Check first due and repeat days",$C46+MAX(0,ROUNDUP((TODAY()-$C46)/$D46,0))*$D46)</f>
        <v/>
      </c>
      <c r="F46" s="6">
        <f>IF($A46="","",IF(NOT(ISNUMBER($E46)),"CHECK INPUTS",IF($E46&lt;TODAY(),"OVERDUE "&amp;TODAY()-$E46&amp;" DAYS",IF($E46-TODAY()&lt;=30,"DUE IN "&amp;$E46-TODAY()&amp;" DAYS","OPEN"))))</f>
        <v/>
      </c>
      <c r="G46" s="9" t="inlineStr"/>
    </row>
    <row r="47">
      <c r="A47" s="9" t="inlineStr"/>
      <c r="B47" s="9" t="inlineStr"/>
      <c r="C47" s="11" t="n"/>
      <c r="D47" s="9" t="n"/>
      <c r="E47" s="12">
        <f>IF(OR($A47="",NOT(ISNUMBER($C47)),NOT(ISNUMBER($D47)),$D47&lt;=0),"Check first due and repeat days",$C47+MAX(0,ROUNDUP((TODAY()-$C47)/$D47,0))*$D47)</f>
        <v/>
      </c>
      <c r="F47" s="6">
        <f>IF($A47="","",IF(NOT(ISNUMBER($E47)),"CHECK INPUTS",IF($E47&lt;TODAY(),"OVERDUE "&amp;TODAY()-$E47&amp;" DAYS",IF($E47-TODAY()&lt;=30,"DUE IN "&amp;$E47-TODAY()&amp;" DAYS","OPEN"))))</f>
        <v/>
      </c>
      <c r="G47" s="9" t="inlineStr"/>
    </row>
    <row r="48">
      <c r="A48" s="9" t="inlineStr"/>
      <c r="B48" s="9" t="inlineStr"/>
      <c r="C48" s="11" t="n"/>
      <c r="D48" s="9" t="n"/>
      <c r="E48" s="12">
        <f>IF(OR($A48="",NOT(ISNUMBER($C48)),NOT(ISNUMBER($D48)),$D48&lt;=0),"Check first due and repeat days",$C48+MAX(0,ROUNDUP((TODAY()-$C48)/$D48,0))*$D48)</f>
        <v/>
      </c>
      <c r="F48" s="6">
        <f>IF($A48="","",IF(NOT(ISNUMBER($E48)),"CHECK INPUTS",IF($E48&lt;TODAY(),"OVERDUE "&amp;TODAY()-$E48&amp;" DAYS",IF($E48-TODAY()&lt;=30,"DUE IN "&amp;$E48-TODAY()&amp;" DAYS","OPEN"))))</f>
        <v/>
      </c>
      <c r="G48" s="9" t="inlineStr"/>
    </row>
    <row r="49">
      <c r="A49" s="9" t="inlineStr"/>
      <c r="B49" s="9" t="inlineStr"/>
      <c r="C49" s="11" t="n"/>
      <c r="D49" s="9" t="n"/>
      <c r="E49" s="12">
        <f>IF(OR($A49="",NOT(ISNUMBER($C49)),NOT(ISNUMBER($D49)),$D49&lt;=0),"Check first due and repeat days",$C49+MAX(0,ROUNDUP((TODAY()-$C49)/$D49,0))*$D49)</f>
        <v/>
      </c>
      <c r="F49" s="6">
        <f>IF($A49="","",IF(NOT(ISNUMBER($E49)),"CHECK INPUTS",IF($E49&lt;TODAY(),"OVERDUE "&amp;TODAY()-$E49&amp;" DAYS",IF($E49-TODAY()&lt;=30,"DUE IN "&amp;$E49-TODAY()&amp;" DAYS","OPEN"))))</f>
        <v/>
      </c>
      <c r="G49" s="9" t="inlineStr"/>
    </row>
    <row r="50">
      <c r="A50" s="9" t="inlineStr"/>
      <c r="B50" s="9" t="inlineStr"/>
      <c r="C50" s="11" t="n"/>
      <c r="D50" s="9" t="n"/>
      <c r="E50" s="12">
        <f>IF(OR($A50="",NOT(ISNUMBER($C50)),NOT(ISNUMBER($D50)),$D50&lt;=0),"Check first due and repeat days",$C50+MAX(0,ROUNDUP((TODAY()-$C50)/$D50,0))*$D50)</f>
        <v/>
      </c>
      <c r="F50" s="6">
        <f>IF($A50="","",IF(NOT(ISNUMBER($E50)),"CHECK INPUTS",IF($E50&lt;TODAY(),"OVERDUE "&amp;TODAY()-$E50&amp;" DAYS",IF($E50-TODAY()&lt;=30,"DUE IN "&amp;$E50-TODAY()&amp;" DAYS","OPEN"))))</f>
        <v/>
      </c>
      <c r="G50" s="9" t="inlineStr"/>
    </row>
    <row r="51">
      <c r="A51" s="9" t="inlineStr"/>
      <c r="B51" s="9" t="inlineStr"/>
      <c r="C51" s="11" t="n"/>
      <c r="D51" s="9" t="n"/>
      <c r="E51" s="12">
        <f>IF(OR($A51="",NOT(ISNUMBER($C51)),NOT(ISNUMBER($D51)),$D51&lt;=0),"Check first due and repeat days",$C51+MAX(0,ROUNDUP((TODAY()-$C51)/$D51,0))*$D51)</f>
        <v/>
      </c>
      <c r="F51" s="6">
        <f>IF($A51="","",IF(NOT(ISNUMBER($E51)),"CHECK INPUTS",IF($E51&lt;TODAY(),"OVERDUE "&amp;TODAY()-$E51&amp;" DAYS",IF($E51-TODAY()&lt;=30,"DUE IN "&amp;$E51-TODAY()&amp;" DAYS","OPEN"))))</f>
        <v/>
      </c>
      <c r="G51" s="9" t="inlineStr"/>
    </row>
    <row r="52">
      <c r="A52" s="9" t="inlineStr"/>
      <c r="B52" s="9" t="inlineStr"/>
      <c r="C52" s="11" t="n"/>
      <c r="D52" s="9" t="n"/>
      <c r="E52" s="12">
        <f>IF(OR($A52="",NOT(ISNUMBER($C52)),NOT(ISNUMBER($D52)),$D52&lt;=0),"Check first due and repeat days",$C52+MAX(0,ROUNDUP((TODAY()-$C52)/$D52,0))*$D52)</f>
        <v/>
      </c>
      <c r="F52" s="6">
        <f>IF($A52="","",IF(NOT(ISNUMBER($E52)),"CHECK INPUTS",IF($E52&lt;TODAY(),"OVERDUE "&amp;TODAY()-$E52&amp;" DAYS",IF($E52-TODAY()&lt;=30,"DUE IN "&amp;$E52-TODAY()&amp;" DAYS","OPEN"))))</f>
        <v/>
      </c>
      <c r="G52" s="9" t="inlineStr"/>
    </row>
    <row r="53">
      <c r="A53" s="9" t="inlineStr"/>
      <c r="B53" s="9" t="inlineStr"/>
      <c r="C53" s="11" t="n"/>
      <c r="D53" s="9" t="n"/>
      <c r="E53" s="12">
        <f>IF(OR($A53="",NOT(ISNUMBER($C53)),NOT(ISNUMBER($D53)),$D53&lt;=0),"Check first due and repeat days",$C53+MAX(0,ROUNDUP((TODAY()-$C53)/$D53,0))*$D53)</f>
        <v/>
      </c>
      <c r="F53" s="6">
        <f>IF($A53="","",IF(NOT(ISNUMBER($E53)),"CHECK INPUTS",IF($E53&lt;TODAY(),"OVERDUE "&amp;TODAY()-$E53&amp;" DAYS",IF($E53-TODAY()&lt;=30,"DUE IN "&amp;$E53-TODAY()&amp;" DAYS","OPEN"))))</f>
        <v/>
      </c>
      <c r="G53" s="9" t="inlineStr"/>
    </row>
    <row r="54">
      <c r="A54" s="9" t="inlineStr"/>
      <c r="B54" s="9" t="inlineStr"/>
      <c r="C54" s="11" t="n"/>
      <c r="D54" s="9" t="n"/>
      <c r="E54" s="12">
        <f>IF(OR($A54="",NOT(ISNUMBER($C54)),NOT(ISNUMBER($D54)),$D54&lt;=0),"Check first due and repeat days",$C54+MAX(0,ROUNDUP((TODAY()-$C54)/$D54,0))*$D54)</f>
        <v/>
      </c>
      <c r="F54" s="6">
        <f>IF($A54="","",IF(NOT(ISNUMBER($E54)),"CHECK INPUTS",IF($E54&lt;TODAY(),"OVERDUE "&amp;TODAY()-$E54&amp;" DAYS",IF($E54-TODAY()&lt;=30,"DUE IN "&amp;$E54-TODAY()&amp;" DAYS","OPEN"))))</f>
        <v/>
      </c>
      <c r="G54" s="9" t="inlineStr"/>
    </row>
    <row r="55">
      <c r="A55" s="9" t="inlineStr"/>
      <c r="B55" s="9" t="inlineStr"/>
      <c r="C55" s="11" t="n"/>
      <c r="D55" s="9" t="n"/>
      <c r="E55" s="12">
        <f>IF(OR($A55="",NOT(ISNUMBER($C55)),NOT(ISNUMBER($D55)),$D55&lt;=0),"Check first due and repeat days",$C55+MAX(0,ROUNDUP((TODAY()-$C55)/$D55,0))*$D55)</f>
        <v/>
      </c>
      <c r="F55" s="6">
        <f>IF($A55="","",IF(NOT(ISNUMBER($E55)),"CHECK INPUTS",IF($E55&lt;TODAY(),"OVERDUE "&amp;TODAY()-$E55&amp;" DAYS",IF($E55-TODAY()&lt;=30,"DUE IN "&amp;$E55-TODAY()&amp;" DAYS","OPEN"))))</f>
        <v/>
      </c>
      <c r="G55" s="9" t="inlineStr"/>
    </row>
    <row r="56">
      <c r="A56" s="9" t="inlineStr"/>
      <c r="B56" s="9" t="inlineStr"/>
      <c r="C56" s="11" t="n"/>
      <c r="D56" s="9" t="n"/>
      <c r="E56" s="12">
        <f>IF(OR($A56="",NOT(ISNUMBER($C56)),NOT(ISNUMBER($D56)),$D56&lt;=0),"Check first due and repeat days",$C56+MAX(0,ROUNDUP((TODAY()-$C56)/$D56,0))*$D56)</f>
        <v/>
      </c>
      <c r="F56" s="6">
        <f>IF($A56="","",IF(NOT(ISNUMBER($E56)),"CHECK INPUTS",IF($E56&lt;TODAY(),"OVERDUE "&amp;TODAY()-$E56&amp;" DAYS",IF($E56-TODAY()&lt;=30,"DUE IN "&amp;$E56-TODAY()&amp;" DAYS","OPEN"))))</f>
        <v/>
      </c>
      <c r="G56" s="9" t="inlineStr"/>
    </row>
    <row r="57">
      <c r="A57" s="9" t="inlineStr"/>
      <c r="B57" s="9" t="inlineStr"/>
      <c r="C57" s="11" t="n"/>
      <c r="D57" s="9" t="n"/>
      <c r="E57" s="12">
        <f>IF(OR($A57="",NOT(ISNUMBER($C57)),NOT(ISNUMBER($D57)),$D57&lt;=0),"Check first due and repeat days",$C57+MAX(0,ROUNDUP((TODAY()-$C57)/$D57,0))*$D57)</f>
        <v/>
      </c>
      <c r="F57" s="6">
        <f>IF($A57="","",IF(NOT(ISNUMBER($E57)),"CHECK INPUTS",IF($E57&lt;TODAY(),"OVERDUE "&amp;TODAY()-$E57&amp;" DAYS",IF($E57-TODAY()&lt;=30,"DUE IN "&amp;$E57-TODAY()&amp;" DAYS","OPEN"))))</f>
        <v/>
      </c>
      <c r="G57" s="9" t="inlineStr"/>
    </row>
    <row r="58">
      <c r="A58" s="9" t="inlineStr"/>
      <c r="B58" s="9" t="inlineStr"/>
      <c r="C58" s="11" t="n"/>
      <c r="D58" s="9" t="n"/>
      <c r="E58" s="12">
        <f>IF(OR($A58="",NOT(ISNUMBER($C58)),NOT(ISNUMBER($D58)),$D58&lt;=0),"Check first due and repeat days",$C58+MAX(0,ROUNDUP((TODAY()-$C58)/$D58,0))*$D58)</f>
        <v/>
      </c>
      <c r="F58" s="6">
        <f>IF($A58="","",IF(NOT(ISNUMBER($E58)),"CHECK INPUTS",IF($E58&lt;TODAY(),"OVERDUE "&amp;TODAY()-$E58&amp;" DAYS",IF($E58-TODAY()&lt;=30,"DUE IN "&amp;$E58-TODAY()&amp;" DAYS","OPEN"))))</f>
        <v/>
      </c>
      <c r="G58" s="9" t="inlineStr"/>
    </row>
    <row r="59">
      <c r="A59" s="9" t="inlineStr"/>
      <c r="B59" s="9" t="inlineStr"/>
      <c r="C59" s="11" t="n"/>
      <c r="D59" s="9" t="n"/>
      <c r="E59" s="12">
        <f>IF(OR($A59="",NOT(ISNUMBER($C59)),NOT(ISNUMBER($D59)),$D59&lt;=0),"Check first due and repeat days",$C59+MAX(0,ROUNDUP((TODAY()-$C59)/$D59,0))*$D59)</f>
        <v/>
      </c>
      <c r="F59" s="6">
        <f>IF($A59="","",IF(NOT(ISNUMBER($E59)),"CHECK INPUTS",IF($E59&lt;TODAY(),"OVERDUE "&amp;TODAY()-$E59&amp;" DAYS",IF($E59-TODAY()&lt;=30,"DUE IN "&amp;$E59-TODAY()&amp;" DAYS","OPEN"))))</f>
        <v/>
      </c>
      <c r="G59" s="9" t="inlineStr"/>
    </row>
    <row r="60">
      <c r="A60" s="9" t="inlineStr"/>
      <c r="B60" s="9" t="inlineStr"/>
      <c r="C60" s="11" t="n"/>
      <c r="D60" s="9" t="n"/>
      <c r="E60" s="12">
        <f>IF(OR($A60="",NOT(ISNUMBER($C60)),NOT(ISNUMBER($D60)),$D60&lt;=0),"Check first due and repeat days",$C60+MAX(0,ROUNDUP((TODAY()-$C60)/$D60,0))*$D60)</f>
        <v/>
      </c>
      <c r="F60" s="6">
        <f>IF($A60="","",IF(NOT(ISNUMBER($E60)),"CHECK INPUTS",IF($E60&lt;TODAY(),"OVERDUE "&amp;TODAY()-$E60&amp;" DAYS",IF($E60-TODAY()&lt;=30,"DUE IN "&amp;$E60-TODAY()&amp;" DAYS","OPEN"))))</f>
        <v/>
      </c>
      <c r="G60" s="9" t="inlineStr"/>
    </row>
    <row r="61">
      <c r="A61" s="9" t="inlineStr"/>
      <c r="B61" s="9" t="inlineStr"/>
      <c r="C61" s="11" t="n"/>
      <c r="D61" s="9" t="n"/>
      <c r="E61" s="12">
        <f>IF(OR($A61="",NOT(ISNUMBER($C61)),NOT(ISNUMBER($D61)),$D61&lt;=0),"Check first due and repeat days",$C61+MAX(0,ROUNDUP((TODAY()-$C61)/$D61,0))*$D61)</f>
        <v/>
      </c>
      <c r="F61" s="6">
        <f>IF($A61="","",IF(NOT(ISNUMBER($E61)),"CHECK INPUTS",IF($E61&lt;TODAY(),"OVERDUE "&amp;TODAY()-$E61&amp;" DAYS",IF($E61-TODAY()&lt;=30,"DUE IN "&amp;$E61-TODAY()&amp;" DAYS","OPEN"))))</f>
        <v/>
      </c>
      <c r="G61" s="9" t="inlineStr"/>
    </row>
  </sheetData>
  <dataValidations count="2">
    <dataValidation sqref="D2:D61" showDropDown="0" showInputMessage="1" showErrorMessage="1" allowBlank="1" errorTitle="Repeat every (days)" error="Enter the gap between reports in DAYS (30 = monthly, 90 = quarterly, 365 = annual), between 1 and 3650." type="whole" operator="between">
      <formula1>1</formula1>
      <formula2>3650</formula2>
    </dataValidation>
    <dataValidation sqref="C2:C61" showDropDown="0" showInputMessage="0" showErrorMessage="1" allowBlank="1" errorTitle="First due" error="Enter the first due date from the award letter (yyyy-mm-dd)." type="date" operator="greaterThan">
      <formula1>DATE(2000,1,1)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sheetPr>
  <dimension ref="A1:C30"/>
  <sheetViews>
    <sheetView workbookViewId="0">
      <pane ySplit="1" topLeftCell="A2" activePane="bottomLeft" state="frozen"/>
      <selection pane="bottomLeft" activeCell="A1" sqref="A1"/>
    </sheetView>
  </sheetViews>
  <sheetFormatPr baseColWidth="8" defaultRowHeight="15"/>
  <cols>
    <col width="46" customWidth="1" min="1" max="1"/>
    <col width="22" customWidth="1" min="2" max="2"/>
    <col width="62" customWidth="1" min="3" max="3"/>
  </cols>
  <sheetData>
    <row r="1">
      <c r="A1" s="1" t="inlineStr">
        <is>
          <t>KPI</t>
        </is>
      </c>
      <c r="B1" s="1" t="inlineStr">
        <is>
          <t>Value</t>
        </is>
      </c>
      <c r="C1" s="1" t="inlineStr">
        <is>
          <t>How it is computed</t>
        </is>
      </c>
    </row>
    <row r="2">
      <c r="A2" s="9" t="inlineStr">
        <is>
          <t>Opportunities tracked</t>
        </is>
      </c>
      <c r="B2" s="6">
        <f>COUNTA(Opportunities!$A$2:$A$41)</f>
        <v/>
      </c>
      <c r="C2" s="9" t="inlineStr">
        <is>
          <t>Rows on Opportunities with an ID</t>
        </is>
      </c>
    </row>
    <row r="3">
      <c r="A3" s="9" t="inlineStr">
        <is>
          <t>Active (not awarded, declined or withdrawn)</t>
        </is>
      </c>
      <c r="B3" s="6">
        <f>COUNTA(Opportunities!$A$2:$A$41)-COUNTIF(Opportunities!$I$2:$I$41,"Awarded")-COUNTIF(Opportunities!$I$2:$I$41,"Declined")-COUNTIF(Opportunities!$I$2:$I$41,"Withdrawn")</f>
        <v/>
      </c>
      <c r="C3" s="9" t="inlineStr">
        <is>
          <t>Tracked rows minus the three closed statuses</t>
        </is>
      </c>
    </row>
    <row r="4">
      <c r="A4" s="9" t="inlineStr">
        <is>
          <t>Submitted, awaiting a decision</t>
        </is>
      </c>
      <c r="B4" s="6">
        <f>COUNTIF(Opportunities!$I$2:$I$41,"Submitted")</f>
        <v/>
      </c>
      <c r="C4" s="9" t="inlineStr">
        <is>
          <t>Status = Submitted</t>
        </is>
      </c>
    </row>
    <row r="5">
      <c r="A5" s="9" t="inlineStr">
        <is>
          <t>Decisions received (awarded + declined)</t>
        </is>
      </c>
      <c r="B5" s="6">
        <f>COUNTIF(Opportunities!$I$2:$I$41,"Awarded")+COUNTIF(Opportunities!$I$2:$I$41,"Declined")</f>
        <v/>
      </c>
      <c r="C5" s="9" t="inlineStr">
        <is>
          <t>The only two statuses that carry a real answer</t>
        </is>
      </c>
    </row>
    <row r="6">
      <c r="A6" s="9" t="inlineStr">
        <is>
          <t>Awarded (count)</t>
        </is>
      </c>
      <c r="B6" s="7">
        <f>COUNTIF(Opportunities!$I$2:$I$41,"Awarded")</f>
        <v/>
      </c>
      <c r="C6" s="9" t="inlineStr">
        <is>
          <t>Status = Awarded</t>
        </is>
      </c>
    </row>
    <row r="7">
      <c r="A7" s="9" t="inlineStr">
        <is>
          <t>Award rate</t>
        </is>
      </c>
      <c r="B7" s="13">
        <f>IFERROR(B6/B5,"")</f>
        <v/>
      </c>
      <c r="C7" s="9" t="inlineStr">
        <is>
          <t>Awarded / decisions received - blank until a decision exists</t>
        </is>
      </c>
    </row>
    <row r="8">
      <c r="A8" s="9" t="inlineStr">
        <is>
          <t>Total awarded (USD)</t>
        </is>
      </c>
      <c r="B8" s="14">
        <f>SUM(Opportunities!$O$2:$O$41)</f>
        <v/>
      </c>
      <c r="C8" s="9" t="inlineStr">
        <is>
          <t>Sum of column O on Opportunities</t>
        </is>
      </c>
    </row>
    <row r="9">
      <c r="A9" s="9" t="inlineStr">
        <is>
          <t>Total requested (USD)</t>
        </is>
      </c>
      <c r="B9" s="14">
        <f>SUM(Budget!$C$2:$C$121)</f>
        <v/>
      </c>
      <c r="C9" s="9" t="inlineStr">
        <is>
          <t>Sum of Requested on Budget</t>
        </is>
      </c>
    </row>
    <row r="10">
      <c r="A10" s="9" t="inlineStr">
        <is>
          <t>Awarded against requested</t>
        </is>
      </c>
      <c r="B10" s="13">
        <f>IF(B9=0,"",B8/B9)</f>
        <v/>
      </c>
      <c r="C10" s="9" t="inlineStr">
        <is>
          <t>Blank until something is requested</t>
        </is>
      </c>
    </row>
    <row r="11">
      <c r="A11" s="9" t="inlineStr">
        <is>
          <t>Overdue deadlines</t>
        </is>
      </c>
      <c r="B11" s="7">
        <f>COUNTIF(Opportunities!$S$2:$S$41,"OVERDUE*")</f>
        <v/>
      </c>
      <c r="C11" s="9" t="inlineStr">
        <is>
          <t>Deadline state starts with OVERDUE</t>
        </is>
      </c>
    </row>
    <row r="12">
      <c r="A12" s="9" t="inlineStr">
        <is>
          <t>Deadlines due within 14 days</t>
        </is>
      </c>
      <c r="B12" s="7">
        <f>COUNTIF(Opportunities!$S$2:$S$41,"DUE IN*")</f>
        <v/>
      </c>
      <c r="C12" s="9" t="inlineStr">
        <is>
          <t>Deadline state starts with DUE IN</t>
        </is>
      </c>
    </row>
    <row r="13">
      <c r="A13" s="9" t="inlineStr">
        <is>
          <t>Next deadline (open rows only)</t>
        </is>
      </c>
      <c r="B13" s="12">
        <f>IF(COUNT(Opportunities!$V$2:$V$41)=0,"",MIN(Opportunities!$V$2:$V$41))</f>
        <v/>
      </c>
      <c r="C13" s="9" t="inlineStr">
        <is>
          <t>Earliest open deadline - closed rows are excluded by the helper column</t>
        </is>
      </c>
    </row>
    <row r="14">
      <c r="A14" s="9" t="inlineStr">
        <is>
          <t>Applications with required documents not ready</t>
        </is>
      </c>
      <c r="B14" s="7">
        <f>COUNTIF(Opportunities!$Q$2:$Q$41,"MISSING")</f>
        <v/>
      </c>
      <c r="C14" s="9" t="inlineStr">
        <is>
          <t>Rows where Docs gap = MISSING</t>
        </is>
      </c>
    </row>
    <row r="15">
      <c r="A15" s="9" t="inlineStr">
        <is>
          <t>Duplicate rows to merge</t>
        </is>
      </c>
      <c r="B15" s="7">
        <f>COUNTIF(Opportunities!$T$2:$T$41,"DUPLICATE*")</f>
        <v/>
      </c>
      <c r="C15" s="9" t="inlineStr">
        <is>
          <t>Same funder AND same program on more than one row</t>
        </is>
      </c>
    </row>
    <row r="16">
      <c r="A16" s="9" t="inlineStr">
        <is>
          <t>Rows with a data problem</t>
        </is>
      </c>
      <c r="B16" s="7">
        <f>SUMPRODUCT(--(Opportunities!$U$2:$U$41&lt;&gt;""))</f>
        <v/>
      </c>
      <c r="C16" s="9" t="inlineStr">
        <is>
          <t>Any non-blank message in the Row check column</t>
        </is>
      </c>
    </row>
    <row r="17">
      <c r="A17" s="9" t="inlineStr">
        <is>
          <t>Post-award reports overdue</t>
        </is>
      </c>
      <c r="B17" s="7">
        <f>COUNTIF(Timeline!$F$2:$F$61,"OVERDUE*")</f>
        <v/>
      </c>
      <c r="C17" s="9" t="inlineStr">
        <is>
          <t>Status starts with OVERDUE</t>
        </is>
      </c>
    </row>
    <row r="18">
      <c r="A18" s="9" t="inlineStr">
        <is>
          <t>Post-award reports due within 30 days</t>
        </is>
      </c>
      <c r="B18" s="7">
        <f>COUNTIF(Timeline!$F$2:$F$61,"DUE IN*")</f>
        <v/>
      </c>
      <c r="C18" s="9" t="inlineStr">
        <is>
          <t>Status starts with DUE IN</t>
        </is>
      </c>
    </row>
    <row r="19">
      <c r="A19" s="9" t="inlineStr">
        <is>
          <t>Pipeline verdict</t>
        </is>
      </c>
      <c r="B19" s="6">
        <f>IF(B2=0,"Start here: add your first funder on the Opportunities sheet",IF(B16&gt;0,"FIX THE ROW PROBLEMS - see column U on Opportunities",IF(B15&gt;0,"MERGE OR DELETE THE DUPLICATE ROWS",IF(B11&gt;0,"CLOSE THE OVERDUE DEADLINES FIRST",IF(B14&gt;0,"REQUIRED DOCUMENTS MISSING ON ACTIVE APPLICATIONS",IF(B17&gt;0,"A POST-AWARD REPORT IS OVERDUE","PIPELINE CLEAN - work column L (Next action)"))))))</f>
        <v/>
      </c>
      <c r="C19" s="9" t="inlineStr">
        <is>
          <t>One instruction, in the order that costs the least if ignored</t>
        </is>
      </c>
    </row>
    <row r="20">
      <c r="A20" s="9" t="inlineStr"/>
      <c r="B20" s="9" t="inlineStr"/>
      <c r="C20" s="9" t="inlineStr"/>
    </row>
    <row r="21">
      <c r="A21" s="15" t="inlineStr">
        <is>
          <t>Stage</t>
        </is>
      </c>
      <c r="B21" s="9" t="inlineStr">
        <is>
          <t>Count</t>
        </is>
      </c>
      <c r="C21" s="9" t="inlineStr">
        <is>
          <t>Rows currently sitting in each stage</t>
        </is>
      </c>
    </row>
    <row r="22">
      <c r="A22" s="15" t="inlineStr">
        <is>
          <t>Research</t>
        </is>
      </c>
      <c r="B22" s="7">
        <f>COUNTIF(Opportunities!$I$2:$I$41,"Research")</f>
        <v/>
      </c>
      <c r="C22" s="9" t="inlineStr"/>
    </row>
    <row r="23">
      <c r="A23" s="9" t="inlineStr">
        <is>
          <t>Eligibility</t>
        </is>
      </c>
      <c r="B23" s="7">
        <f>COUNTIF(Opportunities!$I$2:$I$41,"Eligibility")</f>
        <v/>
      </c>
      <c r="C23" s="9" t="inlineStr"/>
    </row>
    <row r="24">
      <c r="A24" s="9" t="inlineStr">
        <is>
          <t>Drafting</t>
        </is>
      </c>
      <c r="B24" s="7">
        <f>COUNTIF(Opportunities!$I$2:$I$41,"Drafting")</f>
        <v/>
      </c>
      <c r="C24" s="9" t="inlineStr"/>
    </row>
    <row r="25">
      <c r="A25" s="9" t="inlineStr">
        <is>
          <t>Internal review</t>
        </is>
      </c>
      <c r="B25" s="7">
        <f>COUNTIF(Opportunities!$I$2:$I$41,"Internal review")</f>
        <v/>
      </c>
      <c r="C25" s="9" t="inlineStr"/>
    </row>
    <row r="26">
      <c r="A26" s="9" t="inlineStr">
        <is>
          <t>Submitted</t>
        </is>
      </c>
      <c r="B26" s="7">
        <f>COUNTIF(Opportunities!$I$2:$I$41,"Submitted")</f>
        <v/>
      </c>
      <c r="C26" s="9" t="inlineStr"/>
    </row>
    <row r="27">
      <c r="A27" s="9" t="inlineStr">
        <is>
          <t>Awarded</t>
        </is>
      </c>
      <c r="B27" s="7">
        <f>COUNTIF(Opportunities!$I$2:$I$41,"Awarded")</f>
        <v/>
      </c>
      <c r="C27" s="9" t="inlineStr"/>
    </row>
    <row r="28">
      <c r="A28" s="9" t="inlineStr">
        <is>
          <t>Declined</t>
        </is>
      </c>
      <c r="B28" s="7">
        <f>COUNTIF(Opportunities!$I$2:$I$41,"Declined")</f>
        <v/>
      </c>
      <c r="C28" s="9" t="inlineStr"/>
    </row>
    <row r="29">
      <c r="A29" s="9" t="inlineStr">
        <is>
          <t>Withdrawn</t>
        </is>
      </c>
      <c r="B29" s="7">
        <f>COUNTIF(Opportunities!$I$2:$I$41,"Withdrawn")</f>
        <v/>
      </c>
      <c r="C29" s="9" t="inlineStr"/>
    </row>
    <row r="30">
      <c r="A30" s="9" t="inlineStr">
        <is>
          <t>Rows with no status yet</t>
        </is>
      </c>
      <c r="B30" s="7">
        <f>B2-SUM(B22:B29)</f>
        <v/>
      </c>
      <c r="C30" s="9" t="inlineStr">
        <is>
          <t>Tracked rows minus the staged rows above</t>
        </is>
      </c>
    </row>
  </sheetData>
  <pageMargins left="0.75" right="0.75" top="1" bottom="1" header="0.5" footer="0.5"/>
</worksheet>
</file>

<file path=xl/worksheets/sheet6.xml><?xml version="1.0" encoding="utf-8"?>
<worksheet xmlns="http://schemas.openxmlformats.org/spreadsheetml/2006/main">
  <sheetPr>
    <outlinePr summaryBelow="1" summaryRight="1"/>
  </sheetPr>
  <dimension ref="A1:E8"/>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52" customWidth="1" min="3" max="3"/>
    <col width="52" customWidth="1" min="4" max="4"/>
    <col width="14" customWidth="1" min="5" max="5"/>
  </cols>
  <sheetData>
    <row r="1">
      <c r="A1" s="1" t="inlineStr">
        <is>
          <t>#</t>
        </is>
      </c>
      <c r="B1" s="1" t="inlineStr">
        <is>
          <t>Stage</t>
        </is>
      </c>
      <c r="C1" s="1" t="inlineStr">
        <is>
          <t>Exit gate - all of it must be true to leave</t>
        </is>
      </c>
      <c r="D1" s="1" t="inlineStr">
        <is>
          <t>What blocks you here</t>
        </is>
      </c>
      <c r="E1" s="1" t="inlineStr">
        <is>
          <t>Owner</t>
        </is>
      </c>
    </row>
    <row r="2">
      <c r="A2" s="9" t="n">
        <v>1</v>
      </c>
      <c r="B2" s="9" t="inlineStr">
        <is>
          <t>Research</t>
        </is>
      </c>
      <c r="C2" s="9" t="inlineStr">
        <is>
          <t>The funder's guidelines are saved and the award range overlaps what you can deliver</t>
        </is>
      </c>
      <c r="D2" s="9" t="inlineStr">
        <is>
          <t>No saved guidelines, so nobody can check the rules later</t>
        </is>
      </c>
      <c r="E2" s="9" t="inlineStr">
        <is>
          <t>Pipeline owner</t>
        </is>
      </c>
    </row>
    <row r="3">
      <c r="A3" s="9" t="n">
        <v>2</v>
      </c>
      <c r="B3" s="9" t="inlineStr">
        <is>
          <t>Eligibility</t>
        </is>
      </c>
      <c r="C3" s="9" t="inlineStr">
        <is>
          <t>Every must-pass question on the Eligibility sheet is answered YES</t>
        </is>
      </c>
      <c r="D3" s="9" t="inlineStr">
        <is>
          <t>One NO at this stage is the cheapest place to stop - every stage after it costs real hours</t>
        </is>
      </c>
      <c r="E3" s="9" t="inlineStr">
        <is>
          <t>Pipeline owner</t>
        </is>
      </c>
    </row>
    <row r="4">
      <c r="A4" s="9" t="n">
        <v>3</v>
      </c>
      <c r="B4" s="9" t="inlineStr">
        <is>
          <t>Drafting</t>
        </is>
      </c>
      <c r="C4" s="9" t="inlineStr">
        <is>
          <t>Narrative, budget and every required document are complete (Docs shows no MISSING)</t>
        </is>
      </c>
      <c r="D4" s="9" t="inlineStr">
        <is>
          <t>Drafting before eligibility is the single largest source of wasted effort</t>
        </is>
      </c>
      <c r="E4" s="9" t="inlineStr">
        <is>
          <t>Writer</t>
        </is>
      </c>
    </row>
    <row r="5">
      <c r="A5" s="9" t="n">
        <v>4</v>
      </c>
      <c r="B5" s="9" t="inlineStr">
        <is>
          <t>Internal review</t>
        </is>
      </c>
      <c r="C5" s="9" t="inlineStr">
        <is>
          <t>A second reader has signed off the narrative, the budget and the numbers</t>
        </is>
      </c>
      <c r="D5" s="9" t="inlineStr">
        <is>
          <t>One person reading their own work finds their own assumptions, not their mistakes</t>
        </is>
      </c>
      <c r="E5" s="9" t="inlineStr">
        <is>
          <t>Second reader</t>
        </is>
      </c>
    </row>
    <row r="6">
      <c r="A6" s="9" t="n">
        <v>5</v>
      </c>
      <c r="B6" s="9" t="inlineStr">
        <is>
          <t>Submitted</t>
        </is>
      </c>
      <c r="C6" s="9" t="inlineStr">
        <is>
          <t>The submission confirmation or receipt is saved next to the row</t>
        </is>
      </c>
      <c r="D6" s="9" t="inlineStr">
        <is>
          <t>No receipt means no proof of what you sent when the funder asks</t>
        </is>
      </c>
      <c r="E6" s="9" t="inlineStr">
        <is>
          <t>Pipeline owner</t>
        </is>
      </c>
    </row>
    <row r="7">
      <c r="A7" s="9" t="n">
        <v>6</v>
      </c>
      <c r="B7" s="9" t="inlineStr">
        <is>
          <t>Decision</t>
        </is>
      </c>
      <c r="C7" s="9" t="inlineStr">
        <is>
          <t>The award or decline letter is on file and the amount is recorded</t>
        </is>
      </c>
      <c r="D7" s="9" t="inlineStr">
        <is>
          <t>A verbal yes is not a decision; nothing else in this workbook should assume it is</t>
        </is>
      </c>
      <c r="E7" s="9" t="inlineStr">
        <is>
          <t>Pipeline owner</t>
        </is>
      </c>
    </row>
    <row r="8">
      <c r="A8" s="9" t="n">
        <v>7</v>
      </c>
      <c r="B8" s="9" t="inlineStr">
        <is>
          <t>Reporting</t>
        </is>
      </c>
      <c r="C8" s="9" t="inlineStr">
        <is>
          <t>Every report due date is on Timeline with its cadence</t>
        </is>
      </c>
      <c r="D8" s="9" t="inlineStr">
        <is>
          <t>A missed report can put an existing award at risk - this is the stage that keeps money</t>
        </is>
      </c>
      <c r="E8" s="9" t="inlineStr">
        <is>
          <t>Finance / program</t>
        </is>
      </c>
    </row>
  </sheetData>
  <pageMargins left="0.75" right="0.75" top="1" bottom="1" header="0.5" footer="0.5"/>
</worksheet>
</file>

<file path=xl/worksheets/sheet7.xml><?xml version="1.0" encoding="utf-8"?>
<worksheet xmlns="http://schemas.openxmlformats.org/spreadsheetml/2006/main">
  <sheetPr>
    <outlinePr summaryBelow="1" summaryRight="1"/>
  </sheetPr>
  <dimension ref="A1:D13"/>
  <sheetViews>
    <sheetView workbookViewId="0">
      <pane ySplit="1" topLeftCell="A2" activePane="bottomLeft" state="frozen"/>
      <selection pane="bottomLeft" activeCell="A1" sqref="A1"/>
    </sheetView>
  </sheetViews>
  <sheetFormatPr baseColWidth="8" defaultRowHeight="15"/>
  <cols>
    <col width="4" customWidth="1" min="1" max="1"/>
    <col width="60" customWidth="1" min="2" max="2"/>
    <col width="56" customWidth="1" min="3" max="3"/>
    <col width="46" customWidth="1" min="4" max="4"/>
  </cols>
  <sheetData>
    <row r="1">
      <c r="A1" s="1" t="inlineStr">
        <is>
          <t>#</t>
        </is>
      </c>
      <c r="B1" s="1" t="inlineStr">
        <is>
          <t>Must-pass question</t>
        </is>
      </c>
      <c r="C1" s="1" t="inlineStr">
        <is>
          <t>Why it stops you</t>
        </is>
      </c>
      <c r="D1" s="1" t="inlineStr">
        <is>
          <t>How to verify</t>
        </is>
      </c>
    </row>
    <row r="2">
      <c r="A2" s="9" t="n">
        <v>1</v>
      </c>
      <c r="B2" s="9" t="inlineStr">
        <is>
          <t>Is the applicant a legal entity the funder accepts (nonprofit, fiscal sponsor, school, tribe)?</t>
        </is>
      </c>
      <c r="C2" s="9" t="inlineStr">
        <is>
          <t>Many funders cannot pay an individual or an unincorporated group at all</t>
        </is>
      </c>
      <c r="D2" s="9" t="inlineStr">
        <is>
          <t>The eligibility section of the guidelines, and your own determination letter</t>
        </is>
      </c>
    </row>
    <row r="3">
      <c r="A3" s="9" t="n">
        <v>2</v>
      </c>
      <c r="B3" s="9" t="inlineStr">
        <is>
          <t>Is the geographic area served inside the funder's stated area?</t>
        </is>
      </c>
      <c r="C3" s="9" t="inlineStr">
        <is>
          <t>A single out-of-area sentence disqualifies the application before review</t>
        </is>
      </c>
      <c r="D3" s="9" t="inlineStr">
        <is>
          <t>The guidelines' service area, checked against your real delivery map</t>
        </is>
      </c>
    </row>
    <row r="4">
      <c r="A4" s="9" t="n">
        <v>3</v>
      </c>
      <c r="B4" s="9" t="inlineStr">
        <is>
          <t>Does the funder accept your organisation size (budget band)?</t>
        </is>
      </c>
      <c r="C4" s="9" t="inlineStr">
        <is>
          <t>Some funders exist specifically for small or for large organisations only</t>
        </is>
      </c>
      <c r="D4" s="9" t="inlineStr">
        <is>
          <t>Any stated annual-budget or staff-count band in the guidelines</t>
        </is>
      </c>
    </row>
    <row r="5">
      <c r="A5" s="9" t="n">
        <v>4</v>
      </c>
      <c r="B5" s="9" t="inlineStr">
        <is>
          <t>Does the funder accept your program area?</t>
        </is>
      </c>
      <c r="C5" s="9" t="inlineStr">
        <is>
          <t>Program categories are usually narrower than they first appear</t>
        </is>
      </c>
      <c r="D5" s="9" t="inlineStr">
        <is>
          <t>The list of funded priorities, funder by funder</t>
        </is>
      </c>
    </row>
    <row r="6">
      <c r="A6" s="9" t="n">
        <v>5</v>
      </c>
      <c r="B6" s="9" t="inlineStr">
        <is>
          <t>Is your required registration or licence current (charity status, state registration)?</t>
        </is>
      </c>
      <c r="C6" s="9" t="inlineStr">
        <is>
          <t>An expired registration fails verification later, after the writing is finished</t>
        </is>
      </c>
      <c r="D6" s="9" t="inlineStr">
        <is>
          <t>The registry record, dated within the last three months</t>
        </is>
      </c>
    </row>
    <row r="7">
      <c r="A7" s="9" t="n">
        <v>6</v>
      </c>
      <c r="B7" s="9" t="inlineStr">
        <is>
          <t>Can you meet the reporting obligations you would be agreeing to?</t>
        </is>
      </c>
      <c r="C7" s="9" t="inlineStr">
        <is>
          <t>Reports are the obligation people agree to without reading; they cost real hours</t>
        </is>
      </c>
      <c r="D7" s="9" t="inlineStr">
        <is>
          <t>The report schedule and template in the guidelines or award terms</t>
        </is>
      </c>
    </row>
    <row r="8">
      <c r="A8" s="9" t="n">
        <v>7</v>
      </c>
      <c r="B8" s="9" t="inlineStr">
        <is>
          <t>Is the ask inside the stated award range?</t>
        </is>
      </c>
      <c r="C8" s="9" t="inlineStr">
        <is>
          <t>Asking far outside the range signals you did not read the guidelines</t>
        </is>
      </c>
      <c r="D8" s="9" t="inlineStr">
        <is>
          <t>The stated minimum and maximum award</t>
        </is>
      </c>
    </row>
    <row r="9">
      <c r="A9" s="9" t="n">
        <v>8</v>
      </c>
      <c r="B9" s="9" t="inlineStr">
        <is>
          <t>Is the match or co-funding requirement something you can genuinely meet?</t>
        </is>
      </c>
      <c r="C9" s="9" t="inlineStr">
        <is>
          <t>A match you cannot document becomes a clawback</t>
        </is>
      </c>
      <c r="D9" s="9" t="inlineStr">
        <is>
          <t>The matching requirement, and a named source for your share</t>
        </is>
      </c>
    </row>
    <row r="10">
      <c r="A10" s="9" t="n">
        <v>9</v>
      </c>
      <c r="B10" s="9" t="inlineStr">
        <is>
          <t>Is the deadline realistic given your document readiness today?</t>
        </is>
      </c>
      <c r="C10" s="9" t="inlineStr">
        <is>
          <t>A two-week deadline with a missing 990 and an unsigned board letter is not realistic</t>
        </is>
      </c>
      <c r="D10" s="9" t="inlineStr">
        <is>
          <t>The Docs sheet: how many required documents are already Y</t>
        </is>
      </c>
    </row>
    <row r="11">
      <c r="A11" s="9" t="n">
        <v>10</v>
      </c>
      <c r="B11" s="9" t="inlineStr">
        <is>
          <t>Is this funder's process compatible with your decision timeline?</t>
        </is>
      </c>
      <c r="C11" s="9" t="inlineStr">
        <is>
          <t>A twelve-month decision cycle can be useless for a program starting next quarter</t>
        </is>
      </c>
      <c r="D11" s="9" t="inlineStr">
        <is>
          <t>The stated notification date, and your own start date</t>
        </is>
      </c>
    </row>
    <row r="12">
      <c r="A12" s="9" t="n">
        <v>11</v>
      </c>
      <c r="B12" s="9" t="inlineStr">
        <is>
          <t>Do you have a person who will genuinely own this application?</t>
        </is>
      </c>
      <c r="C12" s="9" t="inlineStr">
        <is>
          <t>Shared ownership is the reliable predictor of an unsubmitted application</t>
        </is>
      </c>
      <c r="D12" s="9" t="inlineStr">
        <is>
          <t>A name in the Owner column, not a team</t>
        </is>
      </c>
    </row>
    <row r="13">
      <c r="A13" s="9" t="n">
        <v>12</v>
      </c>
      <c r="B13" s="9" t="inlineStr">
        <is>
          <t>Would you still apply if you had to reuse existing material with no rewrite?</t>
        </is>
      </c>
      <c r="C13" s="9" t="inlineStr">
        <is>
          <t>If the answer is no, the application is a rewrite of your whole case, not a fit</t>
        </is>
      </c>
      <c r="D13" s="9" t="inlineStr">
        <is>
          <t>An honest answer, written down before the writing starts</t>
        </is>
      </c>
    </row>
  </sheetData>
  <pageMargins left="0.75" right="0.75" top="1" bottom="1" header="0.5" footer="0.5"/>
</worksheet>
</file>

<file path=xl/worksheets/sheet8.xml><?xml version="1.0" encoding="utf-8"?>
<worksheet xmlns="http://schemas.openxmlformats.org/spreadsheetml/2006/main">
  <sheetPr>
    <outlinePr summaryBelow="1" summaryRight="1"/>
  </sheetPr>
  <dimension ref="A1:E13"/>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54" customWidth="1" min="3" max="3"/>
    <col width="20" customWidth="1" min="4" max="4"/>
    <col width="24" customWidth="1" min="5" max="5"/>
  </cols>
  <sheetData>
    <row r="1">
      <c r="A1" s="1" t="inlineStr">
        <is>
          <t>#</t>
        </is>
      </c>
      <c r="B1" s="1" t="inlineStr">
        <is>
          <t>Document</t>
        </is>
      </c>
      <c r="C1" s="1" t="inlineStr">
        <is>
          <t>What it must show</t>
        </is>
      </c>
      <c r="D1" s="1" t="inlineStr">
        <is>
          <t>Typical format</t>
        </is>
      </c>
      <c r="E1" s="1" t="inlineStr">
        <is>
          <t>Refresh cadence</t>
        </is>
      </c>
    </row>
    <row r="2">
      <c r="A2" s="9" t="n">
        <v>1</v>
      </c>
      <c r="B2" s="9" t="inlineStr">
        <is>
          <t>Mission statement</t>
        </is>
      </c>
      <c r="C2" s="9" t="inlineStr">
        <is>
          <t>150 words, plain language, no jargon a funder has to decode</t>
        </is>
      </c>
      <c r="D2" s="9" t="inlineStr">
        <is>
          <t>DOCX + PDF</t>
        </is>
      </c>
      <c r="E2" s="9" t="inlineStr">
        <is>
          <t>Review yearly</t>
        </is>
      </c>
    </row>
    <row r="3">
      <c r="A3" s="9" t="n">
        <v>2</v>
      </c>
      <c r="B3" s="9" t="inlineStr">
        <is>
          <t>501(c)(3) determination letter</t>
        </is>
      </c>
      <c r="C3" s="9" t="inlineStr">
        <is>
          <t>The IRS letter naming the organisation and its status</t>
        </is>
      </c>
      <c r="D3" s="9" t="inlineStr">
        <is>
          <t>PDF</t>
        </is>
      </c>
      <c r="E3" s="9" t="inlineStr">
        <is>
          <t>Once, on receipt</t>
        </is>
      </c>
    </row>
    <row r="4">
      <c r="A4" s="9" t="n">
        <v>3</v>
      </c>
      <c r="B4" s="9" t="inlineStr">
        <is>
          <t>EIN confirmation letter</t>
        </is>
      </c>
      <c r="C4" s="9" t="inlineStr">
        <is>
          <t>The IRS letter showing the employer identification number</t>
        </is>
      </c>
      <c r="D4" s="9" t="inlineStr">
        <is>
          <t>PDF</t>
        </is>
      </c>
      <c r="E4" s="9" t="inlineStr">
        <is>
          <t>Once, on receipt</t>
        </is>
      </c>
    </row>
    <row r="5">
      <c r="A5" s="9" t="n">
        <v>4</v>
      </c>
      <c r="B5" s="9" t="inlineStr">
        <is>
          <t>Board of directors list</t>
        </is>
      </c>
      <c r="C5" s="9" t="inlineStr">
        <is>
          <t>Names, roles and affiliations, with the date adopted</t>
        </is>
      </c>
      <c r="D5" s="9" t="inlineStr">
        <is>
          <t>DOCX or PDF</t>
        </is>
      </c>
      <c r="E5" s="9" t="inlineStr">
        <is>
          <t>On every board change</t>
        </is>
      </c>
    </row>
    <row r="6">
      <c r="A6" s="9" t="n">
        <v>5</v>
      </c>
      <c r="B6" s="9" t="inlineStr">
        <is>
          <t>Organisation budget</t>
        </is>
      </c>
      <c r="C6" s="9" t="inlineStr">
        <is>
          <t>Current financial-year operating budget, board approved</t>
        </is>
      </c>
      <c r="D6" s="9" t="inlineStr">
        <is>
          <t>XLSX</t>
        </is>
      </c>
      <c r="E6" s="9" t="inlineStr">
        <is>
          <t>On every budget approval</t>
        </is>
      </c>
    </row>
    <row r="7">
      <c r="A7" s="9" t="n">
        <v>6</v>
      </c>
      <c r="B7" s="9" t="inlineStr">
        <is>
          <t>Project budget and narrative</t>
        </is>
      </c>
      <c r="C7" s="9" t="inlineStr">
        <is>
          <t>Every line justified in words, not just numbers</t>
        </is>
      </c>
      <c r="D7" s="9" t="inlineStr">
        <is>
          <t>XLSX + DOCX</t>
        </is>
      </c>
      <c r="E7" s="9" t="inlineStr">
        <is>
          <t>Per application</t>
        </is>
      </c>
    </row>
    <row r="8">
      <c r="A8" s="9" t="n">
        <v>7</v>
      </c>
      <c r="B8" s="9" t="inlineStr">
        <is>
          <t>Most recent Form 990</t>
        </is>
      </c>
      <c r="C8" s="9" t="inlineStr">
        <is>
          <t>The filing as submitted, not a draft</t>
        </is>
      </c>
      <c r="D8" s="9" t="inlineStr">
        <is>
          <t>PDF</t>
        </is>
      </c>
      <c r="E8" s="9" t="inlineStr">
        <is>
          <t>Yearly, once filed</t>
        </is>
      </c>
    </row>
    <row r="9">
      <c r="A9" s="9" t="n">
        <v>8</v>
      </c>
      <c r="B9" s="9" t="inlineStr">
        <is>
          <t>Financial statements</t>
        </is>
      </c>
      <c r="C9" s="9" t="inlineStr">
        <is>
          <t>Audited, reviewed or internally prepared - say which</t>
        </is>
      </c>
      <c r="D9" s="9" t="inlineStr">
        <is>
          <t>PDF</t>
        </is>
      </c>
      <c r="E9" s="9" t="inlineStr">
        <is>
          <t>Yearly, once closed</t>
        </is>
      </c>
    </row>
    <row r="10">
      <c r="A10" s="9" t="n">
        <v>9</v>
      </c>
      <c r="B10" s="9" t="inlineStr">
        <is>
          <t>Program narrative</t>
        </is>
      </c>
      <c r="C10" s="9" t="inlineStr">
        <is>
          <t>What you do, for whom, with what evidence it works</t>
        </is>
      </c>
      <c r="D10" s="9" t="inlineStr">
        <is>
          <t>DOCX</t>
        </is>
      </c>
      <c r="E10" s="9" t="inlineStr">
        <is>
          <t>Review each quarter</t>
        </is>
      </c>
    </row>
    <row r="11">
      <c r="A11" s="9" t="n">
        <v>10</v>
      </c>
      <c r="B11" s="9" t="inlineStr">
        <is>
          <t>Logic model or outcomes table</t>
        </is>
      </c>
      <c r="C11" s="9" t="inlineStr">
        <is>
          <t>Inputs, activities, outputs and the outcomes you measure</t>
        </is>
      </c>
      <c r="D11" s="9" t="inlineStr">
        <is>
          <t>XLSX or DOCX</t>
        </is>
      </c>
      <c r="E11" s="9" t="inlineStr">
        <is>
          <t>Review each quarter</t>
        </is>
      </c>
    </row>
    <row r="12">
      <c r="A12" s="9" t="n">
        <v>11</v>
      </c>
      <c r="B12" s="9" t="inlineStr">
        <is>
          <t>Letters of support</t>
        </is>
      </c>
      <c r="C12" s="9" t="inlineStr">
        <is>
          <t>Dated, specific and signed - one page each</t>
        </is>
      </c>
      <c r="D12" s="9" t="inlineStr">
        <is>
          <t>PDF</t>
        </is>
      </c>
      <c r="E12" s="9" t="inlineStr">
        <is>
          <t>Per application</t>
        </is>
      </c>
    </row>
    <row r="13">
      <c r="A13" s="9" t="n">
        <v>12</v>
      </c>
      <c r="B13" s="9" t="inlineStr">
        <is>
          <t>Project timeline</t>
        </is>
      </c>
      <c r="C13" s="9" t="inlineStr">
        <is>
          <t>Months on one side, milestones and who delivers them on the other</t>
        </is>
      </c>
      <c r="D13" s="9" t="inlineStr">
        <is>
          <t>XLSX or DOCX</t>
        </is>
      </c>
      <c r="E13" s="9" t="inlineStr">
        <is>
          <t>Per application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6" t="inlineStr">
        <is>
          <t>B12-010 Nonprofit Grant Pipeline Tracker - HOW TO USE</t>
        </is>
      </c>
    </row>
    <row r="2"/>
    <row r="3">
      <c r="A3" s="17" t="inlineStr">
        <is>
          <t>1) Start on Opportunities. One row per funder and program, never one row per funder. Fill only the white cells (ID, Funder, Program, Focus area, Geography, Award min, Award max, Deadline, Status, Owner, Source URL, Next action, Submitted, Decision, Awarded). The blue columns are computed and must not be overwritten: Docs ready, Docs gap, Days to deadline, Deadline state, Duplicate? and Row check.</t>
        </is>
      </c>
    </row>
    <row r="4">
      <c r="A4" s="17" t="inlineStr">
        <is>
          <t>2) Nothing enters Drafting until Eligibility exits clean. Work the Eligibility sheet's twelve must-pass questions on paper for the funder in front of you; a single NO is the cheapest possible stop, and every stage after it costs real hours.</t>
        </is>
      </c>
    </row>
    <row r="5">
      <c r="A5" s="17" t="inlineStr">
        <is>
          <t>3) Docs: one row per opportunity and document. Mark Required? Y only for documents that funder actually asks for, and Ready? Y only when the file exists and is current. Opportunities column P then shows readiness as ready/required, and column Q turns MISSING the moment a required document is not ready. The DocLibrary sheet lists the standard twelve documents and how often each needs refreshing.</t>
        </is>
      </c>
    </row>
    <row r="6">
      <c r="A6" s="17" t="inlineStr">
        <is>
          <t>4) Budget: one row per budget line with the amount you requested. Fill Confirmed only after an award letter commits a figure. The Dashboard compares the total requested here with the total awarded on Opportunities, so the gap between asking and getting is visible.</t>
        </is>
      </c>
    </row>
    <row r="7">
      <c r="A7" s="17" t="inlineStr">
        <is>
          <t>5) Timeline: every post-award report, with the first due date from the award letter and the gap in DAYS (30 monthly, 90 quarterly, 365 annual). Next due is computed by stepping forward in whole intervals, so it never shows a date in the past, and a blank or impossible cadence asks you to fix the input instead of guessing.</t>
        </is>
      </c>
    </row>
    <row r="8">
      <c r="A8" s="17" t="inlineStr">
        <is>
          <t>6) Dashboard: every figure is computed from your own rows - tracked and active opportunities, submitted, decisions, award count and award rate, total awarded against total requested, overdue deadlines, what is due in the next 14 days, the next open deadline, applications with missing required documents, duplicate rows, rows with a data problem, and the post-award reports due in the next 30 days. The Pipeline verdict at the bottom gives you one next instruction, ordered by what costs the least if ignored.</t>
        </is>
      </c>
    </row>
    <row r="9">
      <c r="A9" s="17" t="inlineStr">
        <is>
          <t>7) Duplicate and invalid data are named, not hidden. Two rows with the same funder AND the same program are flagged DUPLICATE OF ANOTHER ROW. Column U names concrete problems - missing funder, an award maximum below the minimum, Submitted with no submitted date, Awarded with no amount, a missing deadline, an awarded amount above the range you recorded. The Dashboard counts them so they cannot quietly pile up.</t>
        </is>
      </c>
    </row>
    <row r="10">
      <c r="A10" s="17" t="inlineStr">
        <is>
          <t>8) Golden rule: an untracked report is a risk to an award you already have. Check Timeline weekly and the Dashboard's next-deadline figure monthly.</t>
        </is>
      </c>
    </row>
    <row r="11">
      <c r="A11" s="17" t="inlineStr">
        <is>
          <t>9) Pair this workbook with the B12-010 PDF method guide: the field dictionary, how every formula behaves, a worked 90-day example, the twenty mistakes, and the limits of the tool. This is an organising system for your own applications - it does not submit anything, contact any funder, or promise any funding, and it is not legal or financial advice. Always follow the funder's own guidelines over anything in this workbook.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2026-10-19T12:29:16Z</dcterms:created>
  <dcterms:modified xmlns:dcterms="http://purl.org/dc/terms/" xmlns:xsi="http://www.w3.org/2001/XMLSchema-instance" xsi:type="dcterms:W3CDTF">2026-10-19T12:29:17Z</dcterms:modified>
</cp:coreProperties>
</file>