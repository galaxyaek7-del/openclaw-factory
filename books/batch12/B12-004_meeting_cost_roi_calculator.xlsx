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MeetingLog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REA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70" customWidth="1" min="4" max="4"/>
  </cols>
  <sheetData>
    <row r="1">
      <c r="A1" s="1" t="inlineStr">
        <is>
          <t>#</t>
        </is>
      </c>
      <c r="B1" s="1" t="inlineStr">
        <is>
          <t>Setting</t>
        </is>
      </c>
      <c r="C1" s="1" t="inlineStr">
        <is>
          <t>Your value</t>
        </is>
      </c>
      <c r="D1" s="1" t="inlineStr">
        <is>
          <t>Notes</t>
        </is>
      </c>
    </row>
    <row r="2">
      <c r="A2" s="2" t="n">
        <v>1</v>
      </c>
      <c r="B2" s="2" t="inlineStr">
        <is>
          <t>Default loaded hourly cost (USD/hr)</t>
        </is>
      </c>
      <c r="C2" s="3" t="n">
        <v>65</v>
      </c>
      <c r="D2" s="2" t="inlineStr">
        <is>
          <t>Fully loaded = salary / 2080 x (1 + surcharge). A team median is fine; use the helper below for exact.</t>
        </is>
      </c>
    </row>
    <row r="3">
      <c r="A3" s="2" t="n">
        <v>2</v>
      </c>
      <c r="B3" s="2" t="inlineStr">
        <is>
          <t>Working weeks per year</t>
        </is>
      </c>
      <c r="C3" s="4" t="n">
        <v>46</v>
      </c>
      <c r="D3" s="2" t="inlineStr">
        <is>
          <t>52 minus vacation, holidays and non-billable gaps</t>
        </is>
      </c>
    </row>
    <row r="4">
      <c r="A4" s="2" t="n">
        <v>3</v>
      </c>
      <c r="B4" s="2" t="inlineStr">
        <is>
          <t>Currency label</t>
        </is>
      </c>
      <c r="C4" s="2" t="inlineStr">
        <is>
          <t>USD</t>
        </is>
      </c>
      <c r="D4" s="2" t="inlineStr">
        <is>
          <t>Change the label only; the numbers stay plain</t>
        </is>
      </c>
    </row>
    <row r="5">
      <c r="A5" s="2" t="n">
        <v>4</v>
      </c>
      <c r="B5" s="2" t="inlineStr">
        <is>
          <t>Decision value threshold (USD per decision)</t>
        </is>
      </c>
      <c r="C5" s="3" t="n">
        <v>500</v>
      </c>
      <c r="D5" s="2" t="inlineStr">
        <is>
          <t>Above this cost per decision, the meeting is flagged Shorten/async</t>
        </is>
      </c>
    </row>
    <row r="6">
      <c r="A6" s="2" t="n">
        <v>5</v>
      </c>
      <c r="B6" s="2" t="inlineStr">
        <is>
          <t>Optional: annual salary (USD)</t>
        </is>
      </c>
      <c r="C6" s="3" t="n">
        <v>100000</v>
      </c>
      <c r="D6" s="2" t="inlineStr">
        <is>
          <t>Used only to derive a loaded rate below</t>
        </is>
      </c>
    </row>
    <row r="7">
      <c r="A7" s="2" t="n">
        <v>6</v>
      </c>
      <c r="B7" s="2" t="inlineStr">
        <is>
          <t>Optional: employer surcharge % (EU ~20%, US ~35%)</t>
        </is>
      </c>
      <c r="C7" s="5" t="n">
        <v>0.3</v>
      </c>
      <c r="D7" s="2" t="inlineStr">
        <is>
          <t>Taxes, benefits and overhead on top of salary</t>
        </is>
      </c>
    </row>
    <row r="8">
      <c r="A8" s="2" t="n">
        <v>7</v>
      </c>
      <c r="B8" s="2" t="inlineStr">
        <is>
          <t>Loaded $/hr (computed from row 5-6)</t>
        </is>
      </c>
      <c r="C8" s="6">
        <f>C6/2080*(1+C7)</f>
        <v/>
      </c>
      <c r="D8" s="2" t="inlineStr">
        <is>
          <t>Copy this number into MeetingLog column C, or just type your own rate there</t>
        </is>
      </c>
    </row>
  </sheetData>
  <dataValidations count="5">
    <dataValidation sqref="C2" showDropDown="0" showInputMessage="1" showErrorMessage="1" allowBlank="1" errorTitle="Loaded hourly rate" error="Enter the fully-loaded cost per hour in USD (0 or more), e.g. 65." promptTitle="Loaded hourly rate" prompt="Enter the fully-loaded cost per hour in USD (0 or more), e.g. 65." type="decimal" operator="between">
      <formula1>0</formula1>
      <formula2>100000</formula2>
    </dataValidation>
    <dataValidation sqref="C3" showDropDown="0" showInputMessage="1" showErrorMessage="1" allowBlank="1" errorTitle="Working weeks" error="Enter a whole number of weeks between 1 and 52." promptTitle="Working weeks" prompt="Enter a whole number of weeks between 1 and 52." type="whole" operator="between">
      <formula1>1</formula1>
      <formula2>52</formula2>
    </dataValidation>
    <dataValidation sqref="C5" showDropDown="0" showInputMessage="1" showErrorMessage="1" allowBlank="1" errorTitle="Decision threshold" error="Enter a USD amount, 0 or more." promptTitle="Decision threshold" prompt="Enter a USD amount, 0 or more." type="decimal" operator="between">
      <formula1>0</formula1>
      <formula2>10000000</formula2>
    </dataValidation>
    <dataValidation sqref="C6" showDropDown="0" showInputMessage="1" showErrorMessage="1" allowBlank="1" errorTitle="Annual salary" error="Enter a yearly salary in USD, 0 or more." promptTitle="Annual salary" prompt="Enter a yearly salary in USD, 0 or more." type="decimal" operator="between">
      <formula1>0</formula1>
      <formula2>10000000</formula2>
    </dataValidation>
    <dataValidation sqref="C7" showDropDown="0" showInputMessage="1" showErrorMessage="1" allowBlank="1" errorTitle="Surcharge %" error="Enter a percentage between 0% and 100%, e.g. 30% (not 30)." promptTitle="Surcharge %" prompt="Enter a percentage between 0% and 100%, e.g. 30% (not 30)." type="decimal" operator="between">
      <formula1>0</formula1>
      <formula2>1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3" customWidth="1" min="3" max="3"/>
    <col width="14" customWidth="1" min="4" max="4"/>
    <col width="12" customWidth="1" min="5" max="5"/>
    <col width="18" customWidth="1" min="6" max="6"/>
    <col width="17" customWidth="1" min="7" max="7"/>
    <col width="17" customWidth="1" min="8" max="8"/>
    <col width="16" customWidth="1" min="9" max="9"/>
    <col width="20" customWidth="1" min="10" max="10"/>
    <col width="22" customWidth="1" min="11" max="11"/>
  </cols>
  <sheetData>
    <row r="1">
      <c r="A1" s="1" t="inlineStr">
        <is>
          <t>Meeting</t>
        </is>
      </c>
      <c r="B1" s="1" t="inlineStr">
        <is>
          <t>Attendees</t>
        </is>
      </c>
      <c r="C1" s="1" t="inlineStr">
        <is>
          <t>Loaded $/hr</t>
        </is>
      </c>
      <c r="D1" s="1" t="inlineStr">
        <is>
          <t>Hours/meeting</t>
        </is>
      </c>
      <c r="E1" s="1" t="inlineStr">
        <is>
          <t>Times/week</t>
        </is>
      </c>
      <c r="F1" s="1" t="inlineStr">
        <is>
          <t>Decisions/meeting</t>
        </is>
      </c>
      <c r="G1" s="1" t="inlineStr">
        <is>
          <t>Weekly cost (USD)</t>
        </is>
      </c>
      <c r="H1" s="1" t="inlineStr">
        <is>
          <t>Annual cost (USD)</t>
        </is>
      </c>
      <c r="I1" s="1" t="inlineStr">
        <is>
          <t>Person-hours/year</t>
        </is>
      </c>
      <c r="J1" s="1" t="inlineStr">
        <is>
          <t>Cost per decision (USD)</t>
        </is>
      </c>
      <c r="K1" s="1" t="inlineStr">
        <is>
          <t>Suggested action</t>
        </is>
      </c>
    </row>
    <row r="2">
      <c r="A2" s="7" t="inlineStr">
        <is>
          <t>EXAMPLE Sprint planning</t>
        </is>
      </c>
      <c r="B2" s="7" t="n">
        <v>6</v>
      </c>
      <c r="C2" s="8" t="n">
        <v>75</v>
      </c>
      <c r="D2" s="9" t="n">
        <v>1.5</v>
      </c>
      <c r="E2" s="9" t="n">
        <v>1</v>
      </c>
      <c r="F2" s="7" t="n">
        <v>2</v>
      </c>
      <c r="G2" s="6">
        <f>IF(AND(ISNUMBER(B2),ISNUMBER(C2),ISNUMBER(D2),ISNUMBER(E2)),B2*C2*D2*E2,"")</f>
        <v/>
      </c>
      <c r="H2" s="6">
        <f>IF(ISNUMBER(G2),G2*Setup!$C$3,"")</f>
        <v/>
      </c>
      <c r="I2" s="10">
        <f>IF(AND(ISNUMBER(B2),ISNUMBER(D2),ISNUMBER(E2)),B2*D2*E2*Setup!$C$3,"")</f>
        <v/>
      </c>
      <c r="J2" s="6">
        <f>IF(AND(ISNUMBER(B2),ISNUMBER(C2),ISNUMBER(D2),ISNUMBER(F2),F2&gt;0),B2*C2*D2/F2,"")</f>
        <v/>
      </c>
      <c r="K2" s="11">
        <f>IF(NOT(ISNUMBER(G2)),"",IF(AND(ISNUMBER(F2),F2=0),"KILL or make async",IF(AND(ISNUMBER(J2),J2&gt;Setup!$C$5),"Shorten or async","Keep")))</f>
        <v/>
      </c>
    </row>
    <row r="3">
      <c r="A3" s="7" t="inlineStr">
        <is>
          <t>EXAMPLE Status round-robin</t>
        </is>
      </c>
      <c r="B3" s="7" t="n">
        <v>8</v>
      </c>
      <c r="C3" s="8" t="n">
        <v>70</v>
      </c>
      <c r="D3" s="9" t="n">
        <v>0.5</v>
      </c>
      <c r="E3" s="9" t="n">
        <v>3</v>
      </c>
      <c r="F3" s="7" t="n">
        <v>0</v>
      </c>
      <c r="G3" s="6">
        <f>IF(AND(ISNUMBER(B3),ISNUMBER(C3),ISNUMBER(D3),ISNUMBER(E3)),B3*C3*D3*E3,"")</f>
        <v/>
      </c>
      <c r="H3" s="6">
        <f>IF(ISNUMBER(G3),G3*Setup!$C$3,"")</f>
        <v/>
      </c>
      <c r="I3" s="10">
        <f>IF(AND(ISNUMBER(B3),ISNUMBER(D3),ISNUMBER(E3)),B3*D3*E3*Setup!$C$3,"")</f>
        <v/>
      </c>
      <c r="J3" s="6">
        <f>IF(AND(ISNUMBER(B3),ISNUMBER(C3),ISNUMBER(D3),ISNUMBER(F3),F3&gt;0),B3*C3*D3/F3,"")</f>
        <v/>
      </c>
      <c r="K3" s="11">
        <f>IF(NOT(ISNUMBER(G3)),"",IF(AND(ISNUMBER(F3),F3=0),"KILL or make async",IF(AND(ISNUMBER(J3),J3&gt;Setup!$C$5),"Shorten or async","Keep")))</f>
        <v/>
      </c>
    </row>
    <row r="4">
      <c r="A4" s="2" t="inlineStr"/>
      <c r="B4" s="2" t="inlineStr"/>
      <c r="C4" s="3" t="inlineStr"/>
      <c r="D4" s="12" t="inlineStr"/>
      <c r="E4" s="12" t="inlineStr"/>
      <c r="F4" s="2" t="inlineStr"/>
      <c r="G4" s="6">
        <f>IF(AND(ISNUMBER(B4),ISNUMBER(C4),ISNUMBER(D4),ISNUMBER(E4)),B4*C4*D4*E4,"")</f>
        <v/>
      </c>
      <c r="H4" s="6">
        <f>IF(ISNUMBER(G4),G4*Setup!$C$3,"")</f>
        <v/>
      </c>
      <c r="I4" s="10">
        <f>IF(AND(ISNUMBER(B4),ISNUMBER(D4),ISNUMBER(E4)),B4*D4*E4*Setup!$C$3,"")</f>
        <v/>
      </c>
      <c r="J4" s="6">
        <f>IF(AND(ISNUMBER(B4),ISNUMBER(C4),ISNUMBER(D4),ISNUMBER(F4),F4&gt;0),B4*C4*D4/F4,"")</f>
        <v/>
      </c>
      <c r="K4" s="11">
        <f>IF(NOT(ISNUMBER(G4)),"",IF(AND(ISNUMBER(F4),F4=0),"KILL or make async",IF(AND(ISNUMBER(J4),J4&gt;Setup!$C$5),"Shorten or async","Keep")))</f>
        <v/>
      </c>
    </row>
    <row r="5">
      <c r="A5" s="2" t="inlineStr"/>
      <c r="B5" s="2" t="inlineStr"/>
      <c r="C5" s="3" t="inlineStr"/>
      <c r="D5" s="12" t="inlineStr"/>
      <c r="E5" s="12" t="inlineStr"/>
      <c r="F5" s="2" t="inlineStr"/>
      <c r="G5" s="6">
        <f>IF(AND(ISNUMBER(B5),ISNUMBER(C5),ISNUMBER(D5),ISNUMBER(E5)),B5*C5*D5*E5,"")</f>
        <v/>
      </c>
      <c r="H5" s="6">
        <f>IF(ISNUMBER(G5),G5*Setup!$C$3,"")</f>
        <v/>
      </c>
      <c r="I5" s="10">
        <f>IF(AND(ISNUMBER(B5),ISNUMBER(D5),ISNUMBER(E5)),B5*D5*E5*Setup!$C$3,"")</f>
        <v/>
      </c>
      <c r="J5" s="6">
        <f>IF(AND(ISNUMBER(B5),ISNUMBER(C5),ISNUMBER(D5),ISNUMBER(F5),F5&gt;0),B5*C5*D5/F5,"")</f>
        <v/>
      </c>
      <c r="K5" s="11">
        <f>IF(NOT(ISNUMBER(G5)),"",IF(AND(ISNUMBER(F5),F5=0),"KILL or make async",IF(AND(ISNUMBER(J5),J5&gt;Setup!$C$5),"Shorten or async","Keep")))</f>
        <v/>
      </c>
    </row>
    <row r="6">
      <c r="A6" s="2" t="inlineStr"/>
      <c r="B6" s="2" t="inlineStr"/>
      <c r="C6" s="3" t="inlineStr"/>
      <c r="D6" s="12" t="inlineStr"/>
      <c r="E6" s="12" t="inlineStr"/>
      <c r="F6" s="2" t="inlineStr"/>
      <c r="G6" s="6">
        <f>IF(AND(ISNUMBER(B6),ISNUMBER(C6),ISNUMBER(D6),ISNUMBER(E6)),B6*C6*D6*E6,"")</f>
        <v/>
      </c>
      <c r="H6" s="6">
        <f>IF(ISNUMBER(G6),G6*Setup!$C$3,"")</f>
        <v/>
      </c>
      <c r="I6" s="10">
        <f>IF(AND(ISNUMBER(B6),ISNUMBER(D6),ISNUMBER(E6)),B6*D6*E6*Setup!$C$3,"")</f>
        <v/>
      </c>
      <c r="J6" s="6">
        <f>IF(AND(ISNUMBER(B6),ISNUMBER(C6),ISNUMBER(D6),ISNUMBER(F6),F6&gt;0),B6*C6*D6/F6,"")</f>
        <v/>
      </c>
      <c r="K6" s="11">
        <f>IF(NOT(ISNUMBER(G6)),"",IF(AND(ISNUMBER(F6),F6=0),"KILL or make async",IF(AND(ISNUMBER(J6),J6&gt;Setup!$C$5),"Shorten or async","Keep")))</f>
        <v/>
      </c>
    </row>
    <row r="7">
      <c r="A7" s="2" t="inlineStr"/>
      <c r="B7" s="2" t="inlineStr"/>
      <c r="C7" s="3" t="inlineStr"/>
      <c r="D7" s="12" t="inlineStr"/>
      <c r="E7" s="12" t="inlineStr"/>
      <c r="F7" s="2" t="inlineStr"/>
      <c r="G7" s="6">
        <f>IF(AND(ISNUMBER(B7),ISNUMBER(C7),ISNUMBER(D7),ISNUMBER(E7)),B7*C7*D7*E7,"")</f>
        <v/>
      </c>
      <c r="H7" s="6">
        <f>IF(ISNUMBER(G7),G7*Setup!$C$3,"")</f>
        <v/>
      </c>
      <c r="I7" s="10">
        <f>IF(AND(ISNUMBER(B7),ISNUMBER(D7),ISNUMBER(E7)),B7*D7*E7*Setup!$C$3,"")</f>
        <v/>
      </c>
      <c r="J7" s="6">
        <f>IF(AND(ISNUMBER(B7),ISNUMBER(C7),ISNUMBER(D7),ISNUMBER(F7),F7&gt;0),B7*C7*D7/F7,"")</f>
        <v/>
      </c>
      <c r="K7" s="11">
        <f>IF(NOT(ISNUMBER(G7)),"",IF(AND(ISNUMBER(F7),F7=0),"KILL or make async",IF(AND(ISNUMBER(J7),J7&gt;Setup!$C$5),"Shorten or async","Keep")))</f>
        <v/>
      </c>
    </row>
    <row r="8">
      <c r="A8" s="2" t="inlineStr"/>
      <c r="B8" s="2" t="inlineStr"/>
      <c r="C8" s="3" t="inlineStr"/>
      <c r="D8" s="12" t="inlineStr"/>
      <c r="E8" s="12" t="inlineStr"/>
      <c r="F8" s="2" t="inlineStr"/>
      <c r="G8" s="6">
        <f>IF(AND(ISNUMBER(B8),ISNUMBER(C8),ISNUMBER(D8),ISNUMBER(E8)),B8*C8*D8*E8,"")</f>
        <v/>
      </c>
      <c r="H8" s="6">
        <f>IF(ISNUMBER(G8),G8*Setup!$C$3,"")</f>
        <v/>
      </c>
      <c r="I8" s="10">
        <f>IF(AND(ISNUMBER(B8),ISNUMBER(D8),ISNUMBER(E8)),B8*D8*E8*Setup!$C$3,"")</f>
        <v/>
      </c>
      <c r="J8" s="6">
        <f>IF(AND(ISNUMBER(B8),ISNUMBER(C8),ISNUMBER(D8),ISNUMBER(F8),F8&gt;0),B8*C8*D8/F8,"")</f>
        <v/>
      </c>
      <c r="K8" s="11">
        <f>IF(NOT(ISNUMBER(G8)),"",IF(AND(ISNUMBER(F8),F8=0),"KILL or make async",IF(AND(ISNUMBER(J8),J8&gt;Setup!$C$5),"Shorten or async","Keep")))</f>
        <v/>
      </c>
    </row>
    <row r="9">
      <c r="A9" s="2" t="inlineStr"/>
      <c r="B9" s="2" t="inlineStr"/>
      <c r="C9" s="3" t="inlineStr"/>
      <c r="D9" s="12" t="inlineStr"/>
      <c r="E9" s="12" t="inlineStr"/>
      <c r="F9" s="2" t="inlineStr"/>
      <c r="G9" s="6">
        <f>IF(AND(ISNUMBER(B9),ISNUMBER(C9),ISNUMBER(D9),ISNUMBER(E9)),B9*C9*D9*E9,"")</f>
        <v/>
      </c>
      <c r="H9" s="6">
        <f>IF(ISNUMBER(G9),G9*Setup!$C$3,"")</f>
        <v/>
      </c>
      <c r="I9" s="10">
        <f>IF(AND(ISNUMBER(B9),ISNUMBER(D9),ISNUMBER(E9)),B9*D9*E9*Setup!$C$3,"")</f>
        <v/>
      </c>
      <c r="J9" s="6">
        <f>IF(AND(ISNUMBER(B9),ISNUMBER(C9),ISNUMBER(D9),ISNUMBER(F9),F9&gt;0),B9*C9*D9/F9,"")</f>
        <v/>
      </c>
      <c r="K9" s="11">
        <f>IF(NOT(ISNUMBER(G9)),"",IF(AND(ISNUMBER(F9),F9=0),"KILL or make async",IF(AND(ISNUMBER(J9),J9&gt;Setup!$C$5),"Shorten or async","Keep")))</f>
        <v/>
      </c>
    </row>
    <row r="10">
      <c r="A10" s="2" t="inlineStr"/>
      <c r="B10" s="2" t="inlineStr"/>
      <c r="C10" s="3" t="inlineStr"/>
      <c r="D10" s="12" t="inlineStr"/>
      <c r="E10" s="12" t="inlineStr"/>
      <c r="F10" s="2" t="inlineStr"/>
      <c r="G10" s="6">
        <f>IF(AND(ISNUMBER(B10),ISNUMBER(C10),ISNUMBER(D10),ISNUMBER(E10)),B10*C10*D10*E10,"")</f>
        <v/>
      </c>
      <c r="H10" s="6">
        <f>IF(ISNUMBER(G10),G10*Setup!$C$3,"")</f>
        <v/>
      </c>
      <c r="I10" s="10">
        <f>IF(AND(ISNUMBER(B10),ISNUMBER(D10),ISNUMBER(E10)),B10*D10*E10*Setup!$C$3,"")</f>
        <v/>
      </c>
      <c r="J10" s="6">
        <f>IF(AND(ISNUMBER(B10),ISNUMBER(C10),ISNUMBER(D10),ISNUMBER(F10),F10&gt;0),B10*C10*D10/F10,"")</f>
        <v/>
      </c>
      <c r="K10" s="11">
        <f>IF(NOT(ISNUMBER(G10)),"",IF(AND(ISNUMBER(F10),F10=0),"KILL or make async",IF(AND(ISNUMBER(J10),J10&gt;Setup!$C$5),"Shorten or async","Keep")))</f>
        <v/>
      </c>
    </row>
    <row r="11">
      <c r="A11" s="2" t="inlineStr"/>
      <c r="B11" s="2" t="inlineStr"/>
      <c r="C11" s="3" t="inlineStr"/>
      <c r="D11" s="12" t="inlineStr"/>
      <c r="E11" s="12" t="inlineStr"/>
      <c r="F11" s="2" t="inlineStr"/>
      <c r="G11" s="6">
        <f>IF(AND(ISNUMBER(B11),ISNUMBER(C11),ISNUMBER(D11),ISNUMBER(E11)),B11*C11*D11*E11,"")</f>
        <v/>
      </c>
      <c r="H11" s="6">
        <f>IF(ISNUMBER(G11),G11*Setup!$C$3,"")</f>
        <v/>
      </c>
      <c r="I11" s="10">
        <f>IF(AND(ISNUMBER(B11),ISNUMBER(D11),ISNUMBER(E11)),B11*D11*E11*Setup!$C$3,"")</f>
        <v/>
      </c>
      <c r="J11" s="6">
        <f>IF(AND(ISNUMBER(B11),ISNUMBER(C11),ISNUMBER(D11),ISNUMBER(F11),F11&gt;0),B11*C11*D11/F11,"")</f>
        <v/>
      </c>
      <c r="K11" s="11">
        <f>IF(NOT(ISNUMBER(G11)),"",IF(AND(ISNUMBER(F11),F11=0),"KILL or make async",IF(AND(ISNUMBER(J11),J11&gt;Setup!$C$5),"Shorten or async","Keep")))</f>
        <v/>
      </c>
    </row>
    <row r="12">
      <c r="A12" s="2" t="inlineStr"/>
      <c r="B12" s="2" t="inlineStr"/>
      <c r="C12" s="3" t="inlineStr"/>
      <c r="D12" s="12" t="inlineStr"/>
      <c r="E12" s="12" t="inlineStr"/>
      <c r="F12" s="2" t="inlineStr"/>
      <c r="G12" s="6">
        <f>IF(AND(ISNUMBER(B12),ISNUMBER(C12),ISNUMBER(D12),ISNUMBER(E12)),B12*C12*D12*E12,"")</f>
        <v/>
      </c>
      <c r="H12" s="6">
        <f>IF(ISNUMBER(G12),G12*Setup!$C$3,"")</f>
        <v/>
      </c>
      <c r="I12" s="10">
        <f>IF(AND(ISNUMBER(B12),ISNUMBER(D12),ISNUMBER(E12)),B12*D12*E12*Setup!$C$3,"")</f>
        <v/>
      </c>
      <c r="J12" s="6">
        <f>IF(AND(ISNUMBER(B12),ISNUMBER(C12),ISNUMBER(D12),ISNUMBER(F12),F12&gt;0),B12*C12*D12/F12,"")</f>
        <v/>
      </c>
      <c r="K12" s="11">
        <f>IF(NOT(ISNUMBER(G12)),"",IF(AND(ISNUMBER(F12),F12=0),"KILL or make async",IF(AND(ISNUMBER(J12),J12&gt;Setup!$C$5),"Shorten or async","Keep")))</f>
        <v/>
      </c>
    </row>
    <row r="13">
      <c r="A13" s="2" t="inlineStr"/>
      <c r="B13" s="2" t="inlineStr"/>
      <c r="C13" s="3" t="inlineStr"/>
      <c r="D13" s="12" t="inlineStr"/>
      <c r="E13" s="12" t="inlineStr"/>
      <c r="F13" s="2" t="inlineStr"/>
      <c r="G13" s="6">
        <f>IF(AND(ISNUMBER(B13),ISNUMBER(C13),ISNUMBER(D13),ISNUMBER(E13)),B13*C13*D13*E13,"")</f>
        <v/>
      </c>
      <c r="H13" s="6">
        <f>IF(ISNUMBER(G13),G13*Setup!$C$3,"")</f>
        <v/>
      </c>
      <c r="I13" s="10">
        <f>IF(AND(ISNUMBER(B13),ISNUMBER(D13),ISNUMBER(E13)),B13*D13*E13*Setup!$C$3,"")</f>
        <v/>
      </c>
      <c r="J13" s="6">
        <f>IF(AND(ISNUMBER(B13),ISNUMBER(C13),ISNUMBER(D13),ISNUMBER(F13),F13&gt;0),B13*C13*D13/F13,"")</f>
        <v/>
      </c>
      <c r="K13" s="11">
        <f>IF(NOT(ISNUMBER(G13)),"",IF(AND(ISNUMBER(F13),F13=0),"KILL or make async",IF(AND(ISNUMBER(J13),J13&gt;Setup!$C$5),"Shorten or async","Keep")))</f>
        <v/>
      </c>
    </row>
    <row r="14">
      <c r="A14" s="2" t="inlineStr"/>
      <c r="B14" s="2" t="inlineStr"/>
      <c r="C14" s="3" t="inlineStr"/>
      <c r="D14" s="12" t="inlineStr"/>
      <c r="E14" s="12" t="inlineStr"/>
      <c r="F14" s="2" t="inlineStr"/>
      <c r="G14" s="6">
        <f>IF(AND(ISNUMBER(B14),ISNUMBER(C14),ISNUMBER(D14),ISNUMBER(E14)),B14*C14*D14*E14,"")</f>
        <v/>
      </c>
      <c r="H14" s="6">
        <f>IF(ISNUMBER(G14),G14*Setup!$C$3,"")</f>
        <v/>
      </c>
      <c r="I14" s="10">
        <f>IF(AND(ISNUMBER(B14),ISNUMBER(D14),ISNUMBER(E14)),B14*D14*E14*Setup!$C$3,"")</f>
        <v/>
      </c>
      <c r="J14" s="6">
        <f>IF(AND(ISNUMBER(B14),ISNUMBER(C14),ISNUMBER(D14),ISNUMBER(F14),F14&gt;0),B14*C14*D14/F14,"")</f>
        <v/>
      </c>
      <c r="K14" s="11">
        <f>IF(NOT(ISNUMBER(G14)),"",IF(AND(ISNUMBER(F14),F14=0),"KILL or make async",IF(AND(ISNUMBER(J14),J14&gt;Setup!$C$5),"Shorten or async","Keep")))</f>
        <v/>
      </c>
    </row>
    <row r="15">
      <c r="A15" s="2" t="inlineStr"/>
      <c r="B15" s="2" t="inlineStr"/>
      <c r="C15" s="3" t="inlineStr"/>
      <c r="D15" s="12" t="inlineStr"/>
      <c r="E15" s="12" t="inlineStr"/>
      <c r="F15" s="2" t="inlineStr"/>
      <c r="G15" s="6">
        <f>IF(AND(ISNUMBER(B15),ISNUMBER(C15),ISNUMBER(D15),ISNUMBER(E15)),B15*C15*D15*E15,"")</f>
        <v/>
      </c>
      <c r="H15" s="6">
        <f>IF(ISNUMBER(G15),G15*Setup!$C$3,"")</f>
        <v/>
      </c>
      <c r="I15" s="10">
        <f>IF(AND(ISNUMBER(B15),ISNUMBER(D15),ISNUMBER(E15)),B15*D15*E15*Setup!$C$3,"")</f>
        <v/>
      </c>
      <c r="J15" s="6">
        <f>IF(AND(ISNUMBER(B15),ISNUMBER(C15),ISNUMBER(D15),ISNUMBER(F15),F15&gt;0),B15*C15*D15/F15,"")</f>
        <v/>
      </c>
      <c r="K15" s="11">
        <f>IF(NOT(ISNUMBER(G15)),"",IF(AND(ISNUMBER(F15),F15=0),"KILL or make async",IF(AND(ISNUMBER(J15),J15&gt;Setup!$C$5),"Shorten or async","Keep")))</f>
        <v/>
      </c>
    </row>
    <row r="16">
      <c r="A16" s="2" t="inlineStr"/>
      <c r="B16" s="2" t="inlineStr"/>
      <c r="C16" s="3" t="inlineStr"/>
      <c r="D16" s="12" t="inlineStr"/>
      <c r="E16" s="12" t="inlineStr"/>
      <c r="F16" s="2" t="inlineStr"/>
      <c r="G16" s="6">
        <f>IF(AND(ISNUMBER(B16),ISNUMBER(C16),ISNUMBER(D16),ISNUMBER(E16)),B16*C16*D16*E16,"")</f>
        <v/>
      </c>
      <c r="H16" s="6">
        <f>IF(ISNUMBER(G16),G16*Setup!$C$3,"")</f>
        <v/>
      </c>
      <c r="I16" s="10">
        <f>IF(AND(ISNUMBER(B16),ISNUMBER(D16),ISNUMBER(E16)),B16*D16*E16*Setup!$C$3,"")</f>
        <v/>
      </c>
      <c r="J16" s="6">
        <f>IF(AND(ISNUMBER(B16),ISNUMBER(C16),ISNUMBER(D16),ISNUMBER(F16),F16&gt;0),B16*C16*D16/F16,"")</f>
        <v/>
      </c>
      <c r="K16" s="11">
        <f>IF(NOT(ISNUMBER(G16)),"",IF(AND(ISNUMBER(F16),F16=0),"KILL or make async",IF(AND(ISNUMBER(J16),J16&gt;Setup!$C$5),"Shorten or async","Keep")))</f>
        <v/>
      </c>
    </row>
    <row r="17">
      <c r="A17" s="2" t="inlineStr"/>
      <c r="B17" s="2" t="inlineStr"/>
      <c r="C17" s="3" t="inlineStr"/>
      <c r="D17" s="12" t="inlineStr"/>
      <c r="E17" s="12" t="inlineStr"/>
      <c r="F17" s="2" t="inlineStr"/>
      <c r="G17" s="6">
        <f>IF(AND(ISNUMBER(B17),ISNUMBER(C17),ISNUMBER(D17),ISNUMBER(E17)),B17*C17*D17*E17,"")</f>
        <v/>
      </c>
      <c r="H17" s="6">
        <f>IF(ISNUMBER(G17),G17*Setup!$C$3,"")</f>
        <v/>
      </c>
      <c r="I17" s="10">
        <f>IF(AND(ISNUMBER(B17),ISNUMBER(D17),ISNUMBER(E17)),B17*D17*E17*Setup!$C$3,"")</f>
        <v/>
      </c>
      <c r="J17" s="6">
        <f>IF(AND(ISNUMBER(B17),ISNUMBER(C17),ISNUMBER(D17),ISNUMBER(F17),F17&gt;0),B17*C17*D17/F17,"")</f>
        <v/>
      </c>
      <c r="K17" s="11">
        <f>IF(NOT(ISNUMBER(G17)),"",IF(AND(ISNUMBER(F17),F17=0),"KILL or make async",IF(AND(ISNUMBER(J17),J17&gt;Setup!$C$5),"Shorten or async","Keep")))</f>
        <v/>
      </c>
    </row>
    <row r="18">
      <c r="A18" s="2" t="inlineStr"/>
      <c r="B18" s="2" t="inlineStr"/>
      <c r="C18" s="3" t="inlineStr"/>
      <c r="D18" s="12" t="inlineStr"/>
      <c r="E18" s="12" t="inlineStr"/>
      <c r="F18" s="2" t="inlineStr"/>
      <c r="G18" s="6">
        <f>IF(AND(ISNUMBER(B18),ISNUMBER(C18),ISNUMBER(D18),ISNUMBER(E18)),B18*C18*D18*E18,"")</f>
        <v/>
      </c>
      <c r="H18" s="6">
        <f>IF(ISNUMBER(G18),G18*Setup!$C$3,"")</f>
        <v/>
      </c>
      <c r="I18" s="10">
        <f>IF(AND(ISNUMBER(B18),ISNUMBER(D18),ISNUMBER(E18)),B18*D18*E18*Setup!$C$3,"")</f>
        <v/>
      </c>
      <c r="J18" s="6">
        <f>IF(AND(ISNUMBER(B18),ISNUMBER(C18),ISNUMBER(D18),ISNUMBER(F18),F18&gt;0),B18*C18*D18/F18,"")</f>
        <v/>
      </c>
      <c r="K18" s="11">
        <f>IF(NOT(ISNUMBER(G18)),"",IF(AND(ISNUMBER(F18),F18=0),"KILL or make async",IF(AND(ISNUMBER(J18),J18&gt;Setup!$C$5),"Shorten or async","Keep")))</f>
        <v/>
      </c>
    </row>
    <row r="19">
      <c r="A19" s="2" t="inlineStr"/>
      <c r="B19" s="2" t="inlineStr"/>
      <c r="C19" s="3" t="inlineStr"/>
      <c r="D19" s="12" t="inlineStr"/>
      <c r="E19" s="12" t="inlineStr"/>
      <c r="F19" s="2" t="inlineStr"/>
      <c r="G19" s="6">
        <f>IF(AND(ISNUMBER(B19),ISNUMBER(C19),ISNUMBER(D19),ISNUMBER(E19)),B19*C19*D19*E19,"")</f>
        <v/>
      </c>
      <c r="H19" s="6">
        <f>IF(ISNUMBER(G19),G19*Setup!$C$3,"")</f>
        <v/>
      </c>
      <c r="I19" s="10">
        <f>IF(AND(ISNUMBER(B19),ISNUMBER(D19),ISNUMBER(E19)),B19*D19*E19*Setup!$C$3,"")</f>
        <v/>
      </c>
      <c r="J19" s="6">
        <f>IF(AND(ISNUMBER(B19),ISNUMBER(C19),ISNUMBER(D19),ISNUMBER(F19),F19&gt;0),B19*C19*D19/F19,"")</f>
        <v/>
      </c>
      <c r="K19" s="11">
        <f>IF(NOT(ISNUMBER(G19)),"",IF(AND(ISNUMBER(F19),F19=0),"KILL or make async",IF(AND(ISNUMBER(J19),J19&gt;Setup!$C$5),"Shorten or async","Keep")))</f>
        <v/>
      </c>
    </row>
    <row r="20">
      <c r="A20" s="2" t="inlineStr"/>
      <c r="B20" s="2" t="inlineStr"/>
      <c r="C20" s="3" t="inlineStr"/>
      <c r="D20" s="12" t="inlineStr"/>
      <c r="E20" s="12" t="inlineStr"/>
      <c r="F20" s="2" t="inlineStr"/>
      <c r="G20" s="6">
        <f>IF(AND(ISNUMBER(B20),ISNUMBER(C20),ISNUMBER(D20),ISNUMBER(E20)),B20*C20*D20*E20,"")</f>
        <v/>
      </c>
      <c r="H20" s="6">
        <f>IF(ISNUMBER(G20),G20*Setup!$C$3,"")</f>
        <v/>
      </c>
      <c r="I20" s="10">
        <f>IF(AND(ISNUMBER(B20),ISNUMBER(D20),ISNUMBER(E20)),B20*D20*E20*Setup!$C$3,"")</f>
        <v/>
      </c>
      <c r="J20" s="6">
        <f>IF(AND(ISNUMBER(B20),ISNUMBER(C20),ISNUMBER(D20),ISNUMBER(F20),F20&gt;0),B20*C20*D20/F20,"")</f>
        <v/>
      </c>
      <c r="K20" s="11">
        <f>IF(NOT(ISNUMBER(G20)),"",IF(AND(ISNUMBER(F20),F20=0),"KILL or make async",IF(AND(ISNUMBER(J20),J20&gt;Setup!$C$5),"Shorten or async","Keep")))</f>
        <v/>
      </c>
    </row>
    <row r="21">
      <c r="A21" s="2" t="inlineStr"/>
      <c r="B21" s="2" t="inlineStr"/>
      <c r="C21" s="3" t="inlineStr"/>
      <c r="D21" s="12" t="inlineStr"/>
      <c r="E21" s="12" t="inlineStr"/>
      <c r="F21" s="2" t="inlineStr"/>
      <c r="G21" s="6">
        <f>IF(AND(ISNUMBER(B21),ISNUMBER(C21),ISNUMBER(D21),ISNUMBER(E21)),B21*C21*D21*E21,"")</f>
        <v/>
      </c>
      <c r="H21" s="6">
        <f>IF(ISNUMBER(G21),G21*Setup!$C$3,"")</f>
        <v/>
      </c>
      <c r="I21" s="10">
        <f>IF(AND(ISNUMBER(B21),ISNUMBER(D21),ISNUMBER(E21)),B21*D21*E21*Setup!$C$3,"")</f>
        <v/>
      </c>
      <c r="J21" s="6">
        <f>IF(AND(ISNUMBER(B21),ISNUMBER(C21),ISNUMBER(D21),ISNUMBER(F21),F21&gt;0),B21*C21*D21/F21,"")</f>
        <v/>
      </c>
      <c r="K21" s="11">
        <f>IF(NOT(ISNUMBER(G21)),"",IF(AND(ISNUMBER(F21),F21=0),"KILL or make async",IF(AND(ISNUMBER(J21),J21&gt;Setup!$C$5),"Shorten or async","Keep")))</f>
        <v/>
      </c>
    </row>
  </sheetData>
  <dataValidations count="5">
    <dataValidation sqref="B2:B21" showDropDown="0" showInputMessage="1" showErrorMessage="1" allowBlank="1" errorTitle="Attendees" error="Enter a whole number of attendees, 1 or more." promptTitle="Attendees" prompt="Enter a whole number of attendees, 1 or more." type="whole" operator="between">
      <formula1>1</formula1>
      <formula2>500</formula2>
    </dataValidation>
    <dataValidation sqref="C2:C21" showDropDown="0" showInputMessage="1" showErrorMessage="1" allowBlank="1" errorTitle="Loaded $/hr" error="Enter the fully-loaded hourly cost in USD, 0 or more." promptTitle="Loaded $/hr" prompt="Enter the fully-loaded hourly cost in USD, 0 or more." type="decimal" operator="between">
      <formula1>0</formula1>
      <formula2>10000</formula2>
    </dataValidation>
    <dataValidation sqref="D2:D21" showDropDown="0" showInputMessage="1" showErrorMessage="1" allowBlank="1" errorTitle="Hours" error="Enter hours per meeting (0.05 to 24), e.g. 0.5 for 30 min." promptTitle="Hours" prompt="Enter hours per meeting (0.05 to 24), e.g. 0.5 for 30 min." type="decimal" operator="between">
      <formula1>0.05</formula1>
      <formula2>24</formula2>
    </dataValidation>
    <dataValidation sqref="E2:E21" showDropDown="0" showInputMessage="1" showErrorMessage="1" allowBlank="1" errorTitle="Times/week" error="Enter how many times this meeting runs per week (0 to 40)." promptTitle="Times/week" prompt="Enter how many times this meeting runs per week (0 to 40)." type="decimal" operator="between">
      <formula1>0</formula1>
      <formula2>40</formula2>
    </dataValidation>
    <dataValidation sqref="F2:F21" showDropDown="0" showInputMessage="1" showErrorMessage="1" allowBlank="1" errorTitle="Decisions/meeting" error="Enter how many real decisions this meeting produces (0 if none)." promptTitle="Decisions/meeting" prompt="Enter how many real decisions this meeting produces (0 if none)." type="whole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52" customWidth="1" min="3" max="3"/>
  </cols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Meetings logged</t>
        </is>
      </c>
      <c r="B2" s="11">
        <f>COUNTA(MeetingLog!A2:A21)</f>
        <v/>
      </c>
      <c r="C2" s="3" t="inlineStr">
        <is>
          <t>Rows with a meeting name on MeetingLog</t>
        </is>
      </c>
    </row>
    <row r="3">
      <c r="A3" s="2" t="inlineStr">
        <is>
          <t>Total weekly meeting cost (USD)</t>
        </is>
      </c>
      <c r="B3" s="6">
        <f>IFERROR(SUM(MeetingLog!G2:G21),0)</f>
        <v/>
      </c>
      <c r="C3" s="3" t="inlineStr">
        <is>
          <t>Sum of the Weekly cost column</t>
        </is>
      </c>
    </row>
    <row r="4">
      <c r="A4" s="2" t="inlineStr">
        <is>
          <t>Monthly meeting cost (USD)</t>
        </is>
      </c>
      <c r="B4" s="6">
        <f>IFERROR(B3*4.33,0)</f>
        <v/>
      </c>
      <c r="C4" s="3" t="inlineStr">
        <is>
          <t>Weekly x 4.33 weeks</t>
        </is>
      </c>
    </row>
    <row r="5">
      <c r="A5" s="2" t="inlineStr">
        <is>
          <t>Annual meeting cost (USD)</t>
        </is>
      </c>
      <c r="B5" s="6">
        <f>IFERROR(SUM(MeetingLog!H2:H21),0)</f>
        <v/>
      </c>
      <c r="C5" s="3" t="inlineStr">
        <is>
          <t>Weekly x working weeks per year (Setup)</t>
        </is>
      </c>
    </row>
    <row r="6">
      <c r="A6" s="2" t="inlineStr">
        <is>
          <t>Total person-hours per year</t>
        </is>
      </c>
      <c r="B6" s="11">
        <f>IFERROR(SUM(MeetingLog!I2:I21),0)</f>
        <v/>
      </c>
      <c r="C6" s="3" t="inlineStr">
        <is>
          <t>Attendees x hours x times/week x weeks</t>
        </is>
      </c>
    </row>
    <row r="7">
      <c r="A7" s="2" t="inlineStr">
        <is>
          <t>Zero-decision meetings</t>
        </is>
      </c>
      <c r="B7" s="11">
        <f>SUMPRODUCT((MeetingLog!A2:A21&lt;&gt;"")*(MeetingLog!F2:F21=0))</f>
        <v/>
      </c>
      <c r="C7" s="3" t="inlineStr">
        <is>
          <t>Logged meetings that produce no decision - your first cuts</t>
        </is>
      </c>
    </row>
    <row r="8">
      <c r="A8" s="2" t="inlineStr">
        <is>
          <t>Annual cost of zero-decision meetings (USD)</t>
        </is>
      </c>
      <c r="B8" s="6">
        <f>IFERROR(SUMIFS(MeetingLog!H2:H21,MeetingLog!F2:F21,0,MeetingLog!A2:A21,"&lt;&gt;"),0)</f>
        <v/>
      </c>
      <c r="C8" s="3" t="inlineStr">
        <is>
          <t>The saving if you cancel every zero-decision meeting</t>
        </is>
      </c>
    </row>
    <row r="9">
      <c r="A9" s="2" t="inlineStr">
        <is>
          <t>Most expensive meeting</t>
        </is>
      </c>
      <c r="B9" s="11">
        <f>IFERROR(INDEX(MeetingLog!A2:A21,MATCH(MAX(MeetingLog!H2:H21),MeetingLog!H2:H21,0)),"")</f>
        <v/>
      </c>
      <c r="C9" s="3" t="inlineStr">
        <is>
          <t>Highest annual cost</t>
        </is>
      </c>
    </row>
    <row r="10">
      <c r="A10" s="2" t="inlineStr">
        <is>
          <t>Highest annual meeting cost (USD)</t>
        </is>
      </c>
      <c r="B10" s="6">
        <f>IFERROR(MAX(MeetingLog!H2:H21),0)</f>
        <v/>
      </c>
      <c r="C10" s="3" t="inlineStr"/>
    </row>
    <row r="11">
      <c r="A11" s="2" t="inlineStr">
        <is>
          <t>Highest cost per decision (USD)</t>
        </is>
      </c>
      <c r="B11" s="6">
        <f>IFERROR(MAX(MeetingLog!J2:J21),"")</f>
        <v/>
      </c>
      <c r="C11" s="3" t="inlineStr">
        <is>
          <t>The meeting doing the least work per dollar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20" customWidth="1" min="3" max="3"/>
  </cols>
  <sheetData>
    <row r="1">
      <c r="A1" s="1" t="inlineStr">
        <is>
          <t>#</t>
        </is>
      </c>
      <c r="B1" s="1" t="inlineStr">
        <is>
          <t>Rule</t>
        </is>
      </c>
      <c r="C1" s="1" t="inlineStr">
        <is>
          <t>Applies to</t>
        </is>
      </c>
    </row>
    <row r="2">
      <c r="A2" s="2" t="n">
        <v>1</v>
      </c>
      <c r="B2" s="2" t="inlineStr">
        <is>
          <t>No agenda in invite = decline by default</t>
        </is>
      </c>
      <c r="C2" s="2" t="inlineStr">
        <is>
          <t>All recurring</t>
        </is>
      </c>
    </row>
    <row r="3">
      <c r="A3" s="2" t="n">
        <v>2</v>
      </c>
      <c r="B3" s="2" t="inlineStr">
        <is>
          <t>Default 25 min, not 30; 50 min, not 60</t>
        </is>
      </c>
      <c r="C3" s="2" t="inlineStr">
        <is>
          <t>All new invites</t>
        </is>
      </c>
    </row>
    <row r="4">
      <c r="A4" s="2" t="n">
        <v>3</v>
      </c>
      <c r="B4" s="2" t="inlineStr">
        <is>
          <t>Status updates go async (doc/chat), never a meeting</t>
        </is>
      </c>
      <c r="C4" s="2" t="inlineStr">
        <is>
          <t>Status round-robins</t>
        </is>
      </c>
    </row>
    <row r="5">
      <c r="A5" s="2" t="n">
        <v>4</v>
      </c>
      <c r="B5" s="2" t="inlineStr">
        <is>
          <t>Owner + decision + deadline in every invite</t>
        </is>
      </c>
      <c r="C5" s="2" t="inlineStr">
        <is>
          <t>Decision meetings</t>
        </is>
      </c>
    </row>
    <row r="6">
      <c r="A6" s="2" t="n">
        <v>5</v>
      </c>
      <c r="B6" s="2" t="inlineStr">
        <is>
          <t>Quarterly kill review: cancel the costliest meetings with zero decisions</t>
        </is>
      </c>
      <c r="C6" s="2" t="inlineStr">
        <is>
          <t>Recurring</t>
        </is>
      </c>
    </row>
    <row r="7">
      <c r="A7" s="2" t="n">
        <v>6</v>
      </c>
      <c r="B7" s="2" t="inlineStr">
        <is>
          <t>Set an end date on every recurring meeting and revisit it</t>
        </is>
      </c>
      <c r="C7" s="2" t="inlineStr">
        <is>
          <t>Recurring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3" t="inlineStr">
        <is>
          <t>B12-004 Meeting Cost &amp; ROI Calculator — HOW TO USE</t>
        </is>
      </c>
    </row>
    <row r="2"/>
    <row r="3">
      <c r="A3" s="14" t="inlineStr">
        <is>
          <t>1) Setup: set your default loaded hourly rate and working weeks. Loaded cost = salary / 2080 x (1 + surcharge). The helper derives it from a salary if you prefer.</t>
        </is>
      </c>
    </row>
    <row r="4">
      <c r="A4" s="14" t="inlineStr">
        <is>
          <t>2) MeetingLog: one row per recurring meeting. Fill ONLY the white cells (attendees, rate, hours, times/week, decisions/meeting). Blue cells compute cost and are not to be overwritten. Yellow rows are EXAMPLES - overwrite or delete them.</t>
        </is>
      </c>
    </row>
    <row r="5">
      <c r="A5" s="14" t="inlineStr">
        <is>
          <t>3) Cost per decision = one meeting's cost divided by the real decisions it produces. It is the number worth arguing about.</t>
        </is>
      </c>
    </row>
    <row r="6">
      <c r="A6" s="14" t="inlineStr">
        <is>
          <t>4) Dashboard: totals, the most expensive meeting, and the annual saving from cancelling every zero-decision meeting. Start your kill review at the top of the Meetings logged list.</t>
        </is>
      </c>
    </row>
    <row r="7">
      <c r="A7" s="14" t="inlineStr">
        <is>
          <t>5) Rules: the operating defaults. Re-run the quarterly kill review or the cost quietly returns.</t>
        </is>
      </c>
    </row>
    <row r="8">
      <c r="A8" s="14" t="inlineStr">
        <is>
          <t>Arithmetic on YOUR inputs only. Loaded rates and decisions are estimates you own; this is not HR, legal or financial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2026-10-18T20:00:16Z</dcterms:created>
  <dcterms:modified xmlns:dcterms="http://purl.org/dc/terms/" xmlns:xsi="http://www.w3.org/2001/XMLSchema-instance" xsi:type="dcterms:W3CDTF">2026-10-18T20:00:16Z</dcterms:modified>
</cp:coreProperties>
</file>