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ndoffRegister" sheetId="1" state="visible" r:id="rId1"/>
    <sheet xmlns:r="http://schemas.openxmlformats.org/officeDocument/2006/relationships" name="ChecklistTemplate" sheetId="2" state="visible" r:id="rId2"/>
    <sheet xmlns:r="http://schemas.openxmlformats.org/officeDocument/2006/relationships" name="AssetChecklist" sheetId="3" state="visible" r:id="rId3"/>
    <sheet xmlns:r="http://schemas.openxmlformats.org/officeDocument/2006/relationships" name="RiskRegister" sheetId="4" state="visible" r:id="rId4"/>
    <sheet xmlns:r="http://schemas.openxmlformats.org/officeDocument/2006/relationships" name="Dashboard" sheetId="5" state="visible" r:id="rId5"/>
    <sheet xmlns:r="http://schemas.openxmlformats.org/officeDocument/2006/relationships" name="README"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FFFFFF"/>
      <sz val="11"/>
    </font>
    <font>
      <i val="1"/>
    </font>
    <font>
      <b val="1"/>
      <sz val="13"/>
    </font>
  </fonts>
  <fills count="5">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164" fontId="0" fillId="3" borderId="1" applyAlignment="1" pivotButton="0" quotePrefix="0" xfId="0">
      <alignment vertical="top" wrapText="1"/>
    </xf>
    <xf numFmtId="1" fontId="0" fillId="4" borderId="1" applyAlignment="1" pivotButton="0" quotePrefix="0" xfId="0">
      <alignment vertical="top" wrapText="1"/>
    </xf>
    <xf numFmtId="9" fontId="0" fillId="4"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1" fontId="0" fillId="0" borderId="1" applyAlignment="1" pivotButton="0" quotePrefix="0" xfId="0">
      <alignment vertical="top" wrapText="1"/>
    </xf>
    <xf numFmtId="9" fontId="0" fillId="0" borderId="1" applyAlignment="1" pivotButton="0" quotePrefix="0" xfId="0">
      <alignment vertical="top" wrapText="1"/>
    </xf>
    <xf numFmtId="0" fontId="2" fillId="0" borderId="0" pivotButton="0" quotePrefix="0" xfId="0"/>
    <xf numFmtId="1" fontId="0" fillId="3" borderId="1" applyAlignment="1" pivotButton="0" quotePrefix="0" xfId="0">
      <alignment vertical="top" wrapText="1"/>
    </xf>
    <xf numFmtId="0" fontId="0" fillId="4"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K16"/>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6" customWidth="1" min="3" max="3"/>
    <col width="16" customWidth="1" min="4" max="4"/>
    <col width="13" customWidth="1" min="5" max="5"/>
    <col width="14" customWidth="1" min="6" max="6"/>
    <col width="13" customWidth="1" min="7" max="7"/>
    <col width="15" customWidth="1" min="8" max="8"/>
    <col width="14" customWidth="1" min="9" max="9"/>
    <col width="16" customWidth="1" min="10" max="10"/>
    <col width="16" customWidth="1" min="11" max="11"/>
  </cols>
  <sheetData>
    <row r="1">
      <c r="A1" s="1" t="inlineStr">
        <is>
          <t>#</t>
        </is>
      </c>
      <c r="B1" s="1" t="inlineStr">
        <is>
          <t>Project</t>
        </is>
      </c>
      <c r="C1" s="1" t="inlineStr">
        <is>
          <t>Outgoing owner</t>
        </is>
      </c>
      <c r="D1" s="1" t="inlineStr">
        <is>
          <t>Incoming owner</t>
        </is>
      </c>
      <c r="E1" s="1" t="inlineStr">
        <is>
          <t>Handoff date</t>
        </is>
      </c>
      <c r="F1" s="1" t="inlineStr">
        <is>
          <t>Days to handoff</t>
        </is>
      </c>
      <c r="G1" s="1" t="inlineStr">
        <is>
          <t>Status</t>
        </is>
      </c>
      <c r="H1" s="1" t="inlineStr">
        <is>
          <t>Assets complete %</t>
        </is>
      </c>
      <c r="I1" s="1" t="inlineStr">
        <is>
          <t>Open high risks</t>
        </is>
      </c>
      <c r="J1" s="1" t="inlineStr">
        <is>
          <t>Client sign-off (Y/N)</t>
        </is>
      </c>
      <c r="K1" s="1" t="inlineStr">
        <is>
          <t>Close gate</t>
        </is>
      </c>
    </row>
    <row r="2">
      <c r="A2" s="2" t="n">
        <v>1</v>
      </c>
      <c r="B2" s="2" t="inlineStr">
        <is>
          <t>EXAMPLE Website rebuild</t>
        </is>
      </c>
      <c r="C2" s="2" t="inlineStr">
        <is>
          <t>You</t>
        </is>
      </c>
      <c r="D2" s="2" t="inlineStr">
        <is>
          <t>Client team</t>
        </is>
      </c>
      <c r="E2" s="3" t="inlineStr">
        <is>
          <t>2026-11-01</t>
        </is>
      </c>
      <c r="F2" s="4">
        <f>IF(ISNUMBER(E2),E2-TODAY(),"")</f>
        <v/>
      </c>
      <c r="G2" s="2" t="inlineStr">
        <is>
          <t>In progress</t>
        </is>
      </c>
      <c r="H2" s="5">
        <f>IF($B2="","",IFERROR(COUNTIFS(AssetChecklist!$A$2:$A$60,$B2,AssetChecklist!$D$2:$D$60,"Y")/COUNTIFS(AssetChecklist!$A$2:$A$60,$B2),""))</f>
        <v/>
      </c>
      <c r="I2" s="6">
        <f>IF($B2="","",COUNTIFS(RiskRegister!$A$2:$A$40,$B2,RiskRegister!$H$2:$H$40,"OPEN",RiskRegister!$F$2:$F$40,"&gt;=12"))</f>
        <v/>
      </c>
      <c r="J2" s="2" t="inlineStr">
        <is>
          <t>N</t>
        </is>
      </c>
      <c r="K2" s="6">
        <f>IF($B2="","",IF($H2="","Fill the asset checklist first",IF(AND($H2&gt;=1,$I2=0,$J2="Y"),"READY TO CLOSE","OPEN")))</f>
        <v/>
      </c>
    </row>
    <row r="3">
      <c r="A3" s="2" t="n">
        <v>2</v>
      </c>
      <c r="B3" s="2" t="inlineStr">
        <is>
          <t>EXAMPLE API integration</t>
        </is>
      </c>
      <c r="C3" s="2" t="inlineStr">
        <is>
          <t>You</t>
        </is>
      </c>
      <c r="D3" s="2" t="inlineStr">
        <is>
          <t>Agency B</t>
        </is>
      </c>
      <c r="E3" s="3" t="inlineStr">
        <is>
          <t>2026-11-15</t>
        </is>
      </c>
      <c r="F3" s="4">
        <f>IF(ISNUMBER(E3),E3-TODAY(),"")</f>
        <v/>
      </c>
      <c r="G3" s="2" t="inlineStr">
        <is>
          <t>Not started</t>
        </is>
      </c>
      <c r="H3" s="5">
        <f>IF($B3="","",IFERROR(COUNTIFS(AssetChecklist!$A$2:$A$60,$B3,AssetChecklist!$D$2:$D$60,"Y")/COUNTIFS(AssetChecklist!$A$2:$A$60,$B3),""))</f>
        <v/>
      </c>
      <c r="I3" s="6">
        <f>IF($B3="","",COUNTIFS(RiskRegister!$A$2:$A$40,$B3,RiskRegister!$H$2:$H$40,"OPEN",RiskRegister!$F$2:$F$40,"&gt;=12"))</f>
        <v/>
      </c>
      <c r="J3" s="2" t="inlineStr">
        <is>
          <t>N</t>
        </is>
      </c>
      <c r="K3" s="6">
        <f>IF($B3="","",IF($H3="","Fill the asset checklist first",IF(AND($H3&gt;=1,$I3=0,$J3="Y"),"READY TO CLOSE","OPEN")))</f>
        <v/>
      </c>
    </row>
    <row r="4">
      <c r="A4" s="7" t="n">
        <v>3</v>
      </c>
      <c r="B4" s="7" t="inlineStr"/>
      <c r="C4" s="7" t="inlineStr"/>
      <c r="D4" s="7" t="inlineStr"/>
      <c r="E4" s="8" t="n"/>
      <c r="F4" s="4">
        <f>IF(ISNUMBER(E4),E4-TODAY(),"")</f>
        <v/>
      </c>
      <c r="G4" s="7" t="inlineStr"/>
      <c r="H4" s="5">
        <f>IF($B4="","",IFERROR(COUNTIFS(AssetChecklist!$A$2:$A$60,$B4,AssetChecklist!$D$2:$D$60,"Y")/COUNTIFS(AssetChecklist!$A$2:$A$60,$B4),""))</f>
        <v/>
      </c>
      <c r="I4" s="6">
        <f>IF($B4="","",COUNTIFS(RiskRegister!$A$2:$A$40,$B4,RiskRegister!$H$2:$H$40,"OPEN",RiskRegister!$F$2:$F$40,"&gt;=12"))</f>
        <v/>
      </c>
      <c r="J4" s="7" t="inlineStr"/>
      <c r="K4" s="6">
        <f>IF($B4="","",IF($H4="","Fill the asset checklist first",IF(AND($H4&gt;=1,$I4=0,$J4="Y"),"READY TO CLOSE","OPEN")))</f>
        <v/>
      </c>
    </row>
    <row r="5">
      <c r="A5" s="7" t="n">
        <v>4</v>
      </c>
      <c r="B5" s="7" t="inlineStr"/>
      <c r="C5" s="7" t="inlineStr"/>
      <c r="D5" s="7" t="inlineStr"/>
      <c r="E5" s="8" t="n"/>
      <c r="F5" s="4">
        <f>IF(ISNUMBER(E5),E5-TODAY(),"")</f>
        <v/>
      </c>
      <c r="G5" s="7" t="inlineStr"/>
      <c r="H5" s="5">
        <f>IF($B5="","",IFERROR(COUNTIFS(AssetChecklist!$A$2:$A$60,$B5,AssetChecklist!$D$2:$D$60,"Y")/COUNTIFS(AssetChecklist!$A$2:$A$60,$B5),""))</f>
        <v/>
      </c>
      <c r="I5" s="6">
        <f>IF($B5="","",COUNTIFS(RiskRegister!$A$2:$A$40,$B5,RiskRegister!$H$2:$H$40,"OPEN",RiskRegister!$F$2:$F$40,"&gt;=12"))</f>
        <v/>
      </c>
      <c r="J5" s="7" t="inlineStr"/>
      <c r="K5" s="6">
        <f>IF($B5="","",IF($H5="","Fill the asset checklist first",IF(AND($H5&gt;=1,$I5=0,$J5="Y"),"READY TO CLOSE","OPEN")))</f>
        <v/>
      </c>
    </row>
    <row r="6">
      <c r="A6" s="7" t="n">
        <v>5</v>
      </c>
      <c r="B6" s="7" t="inlineStr"/>
      <c r="C6" s="7" t="inlineStr"/>
      <c r="D6" s="7" t="inlineStr"/>
      <c r="E6" s="8" t="n"/>
      <c r="F6" s="4">
        <f>IF(ISNUMBER(E6),E6-TODAY(),"")</f>
        <v/>
      </c>
      <c r="G6" s="7" t="inlineStr"/>
      <c r="H6" s="5">
        <f>IF($B6="","",IFERROR(COUNTIFS(AssetChecklist!$A$2:$A$60,$B6,AssetChecklist!$D$2:$D$60,"Y")/COUNTIFS(AssetChecklist!$A$2:$A$60,$B6),""))</f>
        <v/>
      </c>
      <c r="I6" s="6">
        <f>IF($B6="","",COUNTIFS(RiskRegister!$A$2:$A$40,$B6,RiskRegister!$H$2:$H$40,"OPEN",RiskRegister!$F$2:$F$40,"&gt;=12"))</f>
        <v/>
      </c>
      <c r="J6" s="7" t="inlineStr"/>
      <c r="K6" s="6">
        <f>IF($B6="","",IF($H6="","Fill the asset checklist first",IF(AND($H6&gt;=1,$I6=0,$J6="Y"),"READY TO CLOSE","OPEN")))</f>
        <v/>
      </c>
    </row>
    <row r="7">
      <c r="A7" s="7" t="n">
        <v>6</v>
      </c>
      <c r="B7" s="7" t="inlineStr"/>
      <c r="C7" s="7" t="inlineStr"/>
      <c r="D7" s="7" t="inlineStr"/>
      <c r="E7" s="8" t="n"/>
      <c r="F7" s="4">
        <f>IF(ISNUMBER(E7),E7-TODAY(),"")</f>
        <v/>
      </c>
      <c r="G7" s="7" t="inlineStr"/>
      <c r="H7" s="5">
        <f>IF($B7="","",IFERROR(COUNTIFS(AssetChecklist!$A$2:$A$60,$B7,AssetChecklist!$D$2:$D$60,"Y")/COUNTIFS(AssetChecklist!$A$2:$A$60,$B7),""))</f>
        <v/>
      </c>
      <c r="I7" s="6">
        <f>IF($B7="","",COUNTIFS(RiskRegister!$A$2:$A$40,$B7,RiskRegister!$H$2:$H$40,"OPEN",RiskRegister!$F$2:$F$40,"&gt;=12"))</f>
        <v/>
      </c>
      <c r="J7" s="7" t="inlineStr"/>
      <c r="K7" s="6">
        <f>IF($B7="","",IF($H7="","Fill the asset checklist first",IF(AND($H7&gt;=1,$I7=0,$J7="Y"),"READY TO CLOSE","OPEN")))</f>
        <v/>
      </c>
    </row>
    <row r="8">
      <c r="A8" s="7" t="n">
        <v>7</v>
      </c>
      <c r="B8" s="7" t="inlineStr"/>
      <c r="C8" s="7" t="inlineStr"/>
      <c r="D8" s="7" t="inlineStr"/>
      <c r="E8" s="8" t="n"/>
      <c r="F8" s="4">
        <f>IF(ISNUMBER(E8),E8-TODAY(),"")</f>
        <v/>
      </c>
      <c r="G8" s="7" t="inlineStr"/>
      <c r="H8" s="5">
        <f>IF($B8="","",IFERROR(COUNTIFS(AssetChecklist!$A$2:$A$60,$B8,AssetChecklist!$D$2:$D$60,"Y")/COUNTIFS(AssetChecklist!$A$2:$A$60,$B8),""))</f>
        <v/>
      </c>
      <c r="I8" s="6">
        <f>IF($B8="","",COUNTIFS(RiskRegister!$A$2:$A$40,$B8,RiskRegister!$H$2:$H$40,"OPEN",RiskRegister!$F$2:$F$40,"&gt;=12"))</f>
        <v/>
      </c>
      <c r="J8" s="7" t="inlineStr"/>
      <c r="K8" s="6">
        <f>IF($B8="","",IF($H8="","Fill the asset checklist first",IF(AND($H8&gt;=1,$I8=0,$J8="Y"),"READY TO CLOSE","OPEN")))</f>
        <v/>
      </c>
    </row>
    <row r="9">
      <c r="A9" s="7" t="n">
        <v>8</v>
      </c>
      <c r="B9" s="7" t="inlineStr"/>
      <c r="C9" s="7" t="inlineStr"/>
      <c r="D9" s="7" t="inlineStr"/>
      <c r="E9" s="8" t="n"/>
      <c r="F9" s="4">
        <f>IF(ISNUMBER(E9),E9-TODAY(),"")</f>
        <v/>
      </c>
      <c r="G9" s="7" t="inlineStr"/>
      <c r="H9" s="5">
        <f>IF($B9="","",IFERROR(COUNTIFS(AssetChecklist!$A$2:$A$60,$B9,AssetChecklist!$D$2:$D$60,"Y")/COUNTIFS(AssetChecklist!$A$2:$A$60,$B9),""))</f>
        <v/>
      </c>
      <c r="I9" s="6">
        <f>IF($B9="","",COUNTIFS(RiskRegister!$A$2:$A$40,$B9,RiskRegister!$H$2:$H$40,"OPEN",RiskRegister!$F$2:$F$40,"&gt;=12"))</f>
        <v/>
      </c>
      <c r="J9" s="7" t="inlineStr"/>
      <c r="K9" s="6">
        <f>IF($B9="","",IF($H9="","Fill the asset checklist first",IF(AND($H9&gt;=1,$I9=0,$J9="Y"),"READY TO CLOSE","OPEN")))</f>
        <v/>
      </c>
    </row>
    <row r="10">
      <c r="A10" s="7" t="n">
        <v>9</v>
      </c>
      <c r="B10" s="7" t="inlineStr"/>
      <c r="C10" s="7" t="inlineStr"/>
      <c r="D10" s="7" t="inlineStr"/>
      <c r="E10" s="8" t="n"/>
      <c r="F10" s="4">
        <f>IF(ISNUMBER(E10),E10-TODAY(),"")</f>
        <v/>
      </c>
      <c r="G10" s="7" t="inlineStr"/>
      <c r="H10" s="5">
        <f>IF($B10="","",IFERROR(COUNTIFS(AssetChecklist!$A$2:$A$60,$B10,AssetChecklist!$D$2:$D$60,"Y")/COUNTIFS(AssetChecklist!$A$2:$A$60,$B10),""))</f>
        <v/>
      </c>
      <c r="I10" s="6">
        <f>IF($B10="","",COUNTIFS(RiskRegister!$A$2:$A$40,$B10,RiskRegister!$H$2:$H$40,"OPEN",RiskRegister!$F$2:$F$40,"&gt;=12"))</f>
        <v/>
      </c>
      <c r="J10" s="7" t="inlineStr"/>
      <c r="K10" s="6">
        <f>IF($B10="","",IF($H10="","Fill the asset checklist first",IF(AND($H10&gt;=1,$I10=0,$J10="Y"),"READY TO CLOSE","OPEN")))</f>
        <v/>
      </c>
    </row>
    <row r="11">
      <c r="A11" s="7" t="n">
        <v>10</v>
      </c>
      <c r="B11" s="7" t="inlineStr"/>
      <c r="C11" s="7" t="inlineStr"/>
      <c r="D11" s="7" t="inlineStr"/>
      <c r="E11" s="8" t="n"/>
      <c r="F11" s="4">
        <f>IF(ISNUMBER(E11),E11-TODAY(),"")</f>
        <v/>
      </c>
      <c r="G11" s="7" t="inlineStr"/>
      <c r="H11" s="5">
        <f>IF($B11="","",IFERROR(COUNTIFS(AssetChecklist!$A$2:$A$60,$B11,AssetChecklist!$D$2:$D$60,"Y")/COUNTIFS(AssetChecklist!$A$2:$A$60,$B11),""))</f>
        <v/>
      </c>
      <c r="I11" s="6">
        <f>IF($B11="","",COUNTIFS(RiskRegister!$A$2:$A$40,$B11,RiskRegister!$H$2:$H$40,"OPEN",RiskRegister!$F$2:$F$40,"&gt;=12"))</f>
        <v/>
      </c>
      <c r="J11" s="7" t="inlineStr"/>
      <c r="K11" s="6">
        <f>IF($B11="","",IF($H11="","Fill the asset checklist first",IF(AND($H11&gt;=1,$I11=0,$J11="Y"),"READY TO CLOSE","OPEN")))</f>
        <v/>
      </c>
    </row>
    <row r="12">
      <c r="A12" s="7" t="n">
        <v>11</v>
      </c>
      <c r="B12" s="7" t="inlineStr"/>
      <c r="C12" s="7" t="inlineStr"/>
      <c r="D12" s="7" t="inlineStr"/>
      <c r="E12" s="8" t="n"/>
      <c r="F12" s="4">
        <f>IF(ISNUMBER(E12),E12-TODAY(),"")</f>
        <v/>
      </c>
      <c r="G12" s="7" t="inlineStr"/>
      <c r="H12" s="5">
        <f>IF($B12="","",IFERROR(COUNTIFS(AssetChecklist!$A$2:$A$60,$B12,AssetChecklist!$D$2:$D$60,"Y")/COUNTIFS(AssetChecklist!$A$2:$A$60,$B12),""))</f>
        <v/>
      </c>
      <c r="I12" s="6">
        <f>IF($B12="","",COUNTIFS(RiskRegister!$A$2:$A$40,$B12,RiskRegister!$H$2:$H$40,"OPEN",RiskRegister!$F$2:$F$40,"&gt;=12"))</f>
        <v/>
      </c>
      <c r="J12" s="7" t="inlineStr"/>
      <c r="K12" s="6">
        <f>IF($B12="","",IF($H12="","Fill the asset checklist first",IF(AND($H12&gt;=1,$I12=0,$J12="Y"),"READY TO CLOSE","OPEN")))</f>
        <v/>
      </c>
    </row>
    <row r="13">
      <c r="A13" s="7" t="n">
        <v>12</v>
      </c>
      <c r="B13" s="7" t="inlineStr"/>
      <c r="C13" s="7" t="inlineStr"/>
      <c r="D13" s="7" t="inlineStr"/>
      <c r="E13" s="8" t="n"/>
      <c r="F13" s="4">
        <f>IF(ISNUMBER(E13),E13-TODAY(),"")</f>
        <v/>
      </c>
      <c r="G13" s="7" t="inlineStr"/>
      <c r="H13" s="5">
        <f>IF($B13="","",IFERROR(COUNTIFS(AssetChecklist!$A$2:$A$60,$B13,AssetChecklist!$D$2:$D$60,"Y")/COUNTIFS(AssetChecklist!$A$2:$A$60,$B13),""))</f>
        <v/>
      </c>
      <c r="I13" s="6">
        <f>IF($B13="","",COUNTIFS(RiskRegister!$A$2:$A$40,$B13,RiskRegister!$H$2:$H$40,"OPEN",RiskRegister!$F$2:$F$40,"&gt;=12"))</f>
        <v/>
      </c>
      <c r="J13" s="7" t="inlineStr"/>
      <c r="K13" s="6">
        <f>IF($B13="","",IF($H13="","Fill the asset checklist first",IF(AND($H13&gt;=1,$I13=0,$J13="Y"),"READY TO CLOSE","OPEN")))</f>
        <v/>
      </c>
    </row>
    <row r="14">
      <c r="A14" s="7" t="n">
        <v>13</v>
      </c>
      <c r="B14" s="7" t="inlineStr"/>
      <c r="C14" s="7" t="inlineStr"/>
      <c r="D14" s="7" t="inlineStr"/>
      <c r="E14" s="8" t="n"/>
      <c r="F14" s="4">
        <f>IF(ISNUMBER(E14),E14-TODAY(),"")</f>
        <v/>
      </c>
      <c r="G14" s="7" t="inlineStr"/>
      <c r="H14" s="5">
        <f>IF($B14="","",IFERROR(COUNTIFS(AssetChecklist!$A$2:$A$60,$B14,AssetChecklist!$D$2:$D$60,"Y")/COUNTIFS(AssetChecklist!$A$2:$A$60,$B14),""))</f>
        <v/>
      </c>
      <c r="I14" s="6">
        <f>IF($B14="","",COUNTIFS(RiskRegister!$A$2:$A$40,$B14,RiskRegister!$H$2:$H$40,"OPEN",RiskRegister!$F$2:$F$40,"&gt;=12"))</f>
        <v/>
      </c>
      <c r="J14" s="7" t="inlineStr"/>
      <c r="K14" s="6">
        <f>IF($B14="","",IF($H14="","Fill the asset checklist first",IF(AND($H14&gt;=1,$I14=0,$J14="Y"),"READY TO CLOSE","OPEN")))</f>
        <v/>
      </c>
    </row>
    <row r="15">
      <c r="A15" s="7" t="n">
        <v>14</v>
      </c>
      <c r="B15" s="7" t="inlineStr"/>
      <c r="C15" s="7" t="inlineStr"/>
      <c r="D15" s="7" t="inlineStr"/>
      <c r="E15" s="8" t="n"/>
      <c r="F15" s="4">
        <f>IF(ISNUMBER(E15),E15-TODAY(),"")</f>
        <v/>
      </c>
      <c r="G15" s="7" t="inlineStr"/>
      <c r="H15" s="5">
        <f>IF($B15="","",IFERROR(COUNTIFS(AssetChecklist!$A$2:$A$60,$B15,AssetChecklist!$D$2:$D$60,"Y")/COUNTIFS(AssetChecklist!$A$2:$A$60,$B15),""))</f>
        <v/>
      </c>
      <c r="I15" s="6">
        <f>IF($B15="","",COUNTIFS(RiskRegister!$A$2:$A$40,$B15,RiskRegister!$H$2:$H$40,"OPEN",RiskRegister!$F$2:$F$40,"&gt;=12"))</f>
        <v/>
      </c>
      <c r="J15" s="7" t="inlineStr"/>
      <c r="K15" s="6">
        <f>IF($B15="","",IF($H15="","Fill the asset checklist first",IF(AND($H15&gt;=1,$I15=0,$J15="Y"),"READY TO CLOSE","OPEN")))</f>
        <v/>
      </c>
    </row>
    <row r="16">
      <c r="A16" s="7" t="n">
        <v>15</v>
      </c>
      <c r="B16" s="7" t="inlineStr"/>
      <c r="C16" s="7" t="inlineStr"/>
      <c r="D16" s="7" t="inlineStr"/>
      <c r="E16" s="8" t="n"/>
      <c r="F16" s="9" t="n"/>
      <c r="G16" s="7" t="inlineStr"/>
      <c r="H16" s="10" t="n"/>
      <c r="I16" s="7" t="n"/>
      <c r="J16" s="7" t="inlineStr"/>
      <c r="K16" s="7" t="n"/>
    </row>
  </sheetData>
  <dataValidations count="3">
    <dataValidation sqref="E2:E15" showDropDown="0" showInputMessage="0" showErrorMessage="1" allowBlank="1" errorTitle="Handoff date" error="Enter a real date, e.g. 2026-11-01." type="date" operator="between">
      <formula1>DATE(2000,1,1)</formula1>
      <formula2>DATE(2100,1,1)</formula2>
    </dataValidation>
    <dataValidation sqref="G2:G15" showDropDown="0" showInputMessage="0" showErrorMessage="1" allowBlank="1" errorTitle="Status" error="Choose one of: Not started, In progress, Ready to close, Closed." type="list">
      <formula1>"Not started,In progress,Ready to close,Closed"</formula1>
    </dataValidation>
    <dataValidation sqref="J2:J15" showDropDown="0" showInputMessage="0" showErrorMessage="1" allowBlank="1" errorTitle="Client sign-off" error="Enter Y or N."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sheetPr>
  <dimension ref="A1:C19"/>
  <sheetViews>
    <sheetView workbookViewId="0">
      <pane ySplit="1" topLeftCell="A2" activePane="bottomLeft" state="frozen"/>
      <selection pane="bottomLeft" activeCell="A1" sqref="A1"/>
    </sheetView>
  </sheetViews>
  <sheetFormatPr baseColWidth="8" defaultRowHeight="15"/>
  <cols>
    <col width="12" customWidth="1" min="1" max="1"/>
    <col width="56" customWidth="1" min="2" max="2"/>
    <col width="46" customWidth="1" min="3" max="3"/>
  </cols>
  <sheetData>
    <row r="1">
      <c r="A1" s="1" t="inlineStr">
        <is>
          <t>Category</t>
        </is>
      </c>
      <c r="B1" s="1" t="inlineStr">
        <is>
          <t>Item to transfer</t>
        </is>
      </c>
      <c r="C1" s="1" t="inlineStr">
        <is>
          <t>Why it prevents a dispute</t>
        </is>
      </c>
    </row>
    <row r="2">
      <c r="A2" s="7" t="inlineStr">
        <is>
          <t>Code</t>
        </is>
      </c>
      <c r="B2" s="7" t="inlineStr">
        <is>
          <t>Repository ownership moved to the client org; their admins, not yours</t>
        </is>
      </c>
      <c r="C2" s="7" t="inlineStr">
        <is>
          <t>You keep write access and the 'transferred' claim is false</t>
        </is>
      </c>
    </row>
    <row r="3">
      <c r="A3" s="7" t="inlineStr">
        <is>
          <t>Code</t>
        </is>
      </c>
      <c r="B3" s="7" t="inlineStr">
        <is>
          <t>Deploy keys / CI secrets reissued to the client and the old ones revoked</t>
        </is>
      </c>
      <c r="C3" s="7" t="inlineStr">
        <is>
          <t>A live key in your hands is a latent security incident</t>
        </is>
      </c>
    </row>
    <row r="4">
      <c r="A4" s="7" t="inlineStr">
        <is>
          <t>Code</t>
        </is>
      </c>
      <c r="B4" s="7" t="inlineStr">
        <is>
          <t>Staging and production reproduced by the incoming owner, live, on the call</t>
        </is>
      </c>
      <c r="C4" s="7" t="inlineStr">
        <is>
          <t>A system they cannot run is not a system they own</t>
        </is>
      </c>
    </row>
    <row r="5">
      <c r="A5" s="7" t="inlineStr">
        <is>
          <t>Docs</t>
        </is>
      </c>
      <c r="B5" s="7" t="inlineStr">
        <is>
          <t>Architecture notes: where everything lives and what depends on what</t>
        </is>
      </c>
      <c r="C5" s="7" t="inlineStr">
        <is>
          <t>The next integrator starts from zero without this map</t>
        </is>
      </c>
    </row>
    <row r="6">
      <c r="A6" s="7" t="inlineStr">
        <is>
          <t>Docs</t>
        </is>
      </c>
      <c r="B6" s="7" t="inlineStr">
        <is>
          <t>Runbook: deploy, roll back, restart, rotate credentials</t>
        </is>
      </c>
      <c r="C6" s="7" t="inlineStr">
        <is>
          <t>An incident with no runbook becomes your unpaid emergency</t>
        </is>
      </c>
    </row>
    <row r="7">
      <c r="A7" s="7" t="inlineStr">
        <is>
          <t>Docs</t>
        </is>
      </c>
      <c r="B7" s="7" t="inlineStr">
        <is>
          <t>Known-bugs list, written honestly, with severity</t>
        </is>
      </c>
      <c r="C7" s="7" t="inlineStr">
        <is>
          <t>Undisclosed bugs become 'you hid this' arguments</t>
        </is>
      </c>
    </row>
    <row r="8">
      <c r="A8" s="7" t="inlineStr">
        <is>
          <t>Accounts</t>
        </is>
      </c>
      <c r="B8" s="7" t="inlineStr">
        <is>
          <t>Hosting, DNS, analytics, error tracking: transfer ownership, never share a password</t>
        </is>
      </c>
      <c r="C8" s="7" t="inlineStr">
        <is>
          <t>Shared passwords blur who changed what</t>
        </is>
      </c>
    </row>
    <row r="9">
      <c r="A9" s="7" t="inlineStr">
        <is>
          <t>Accounts</t>
        </is>
      </c>
      <c r="B9" s="7" t="inlineStr">
        <is>
          <t>Every third-party API key reissued to a client-owned account</t>
        </is>
      </c>
      <c r="C9" s="7" t="inlineStr">
        <is>
          <t>The client must not depend on your account staying open</t>
        </is>
      </c>
    </row>
    <row r="10">
      <c r="A10" s="7" t="inlineStr">
        <is>
          <t>Accounts</t>
        </is>
      </c>
      <c r="B10" s="7" t="inlineStr">
        <is>
          <t>Billing for the above moved to the client, verified on the call</t>
        </is>
      </c>
      <c r="C10" s="7" t="inlineStr">
        <is>
          <t>A silent recurring charge on your card is a dispute in month two</t>
        </is>
      </c>
    </row>
    <row r="11">
      <c r="A11" s="7" t="inlineStr">
        <is>
          <t>Money</t>
        </is>
      </c>
      <c r="B11" s="7" t="inlineStr">
        <is>
          <t>Final invoice issued and payment terms stated in writing</t>
        </is>
      </c>
      <c r="C11" s="7" t="inlineStr">
        <is>
          <t>Scope disputes are usually money disputes in disguise</t>
        </is>
      </c>
    </row>
    <row r="12">
      <c r="A12" s="7" t="inlineStr">
        <is>
          <t>Money</t>
        </is>
      </c>
      <c r="B12" s="7" t="inlineStr">
        <is>
          <t>Outstanding expenses and retainer balance reconciled to the cent</t>
        </is>
      </c>
      <c r="C12" s="7" t="inlineStr">
        <is>
          <t>Open money is the most common reason a handoff stalls</t>
        </is>
      </c>
    </row>
    <row r="13">
      <c r="A13" s="7" t="inlineStr">
        <is>
          <t>Data</t>
        </is>
      </c>
      <c r="B13" s="7" t="inlineStr">
        <is>
          <t>Client data exported in an open format and delivered, not left in your tool</t>
        </is>
      </c>
      <c r="C13" s="7" t="inlineStr">
        <is>
          <t>Data held hostage is the worst handoff failure</t>
        </is>
      </c>
    </row>
    <row r="14">
      <c r="A14" s="7" t="inlineStr">
        <is>
          <t>Data</t>
        </is>
      </c>
      <c r="B14" s="7" t="inlineStr">
        <is>
          <t>Your working copies of client data deleted, confirmed and dated</t>
        </is>
      </c>
      <c r="C14" s="7" t="inlineStr">
        <is>
          <t>A copy you forgot about is a privacy liability</t>
        </is>
      </c>
    </row>
    <row r="15">
      <c r="A15" s="7" t="inlineStr">
        <is>
          <t>Security</t>
        </is>
      </c>
      <c r="B15" s="7" t="inlineStr">
        <is>
          <t>Every shared login replaced with a named account for each person</t>
        </is>
      </c>
      <c r="C15" s="7" t="inlineStr">
        <is>
          <t>Anonymous shared logins can never be revoked or audited</t>
        </is>
      </c>
    </row>
    <row r="16">
      <c r="A16" s="7" t="inlineStr">
        <is>
          <t>Security</t>
        </is>
      </c>
      <c r="B16" s="7" t="inlineStr">
        <is>
          <t>Access you still hold revoked or explicitly time-boxed</t>
        </is>
      </c>
      <c r="C16" s="7" t="inlineStr">
        <is>
          <t>Standing access after handoff is a finding in any audit</t>
        </is>
      </c>
    </row>
    <row r="17">
      <c r="A17" s="7" t="inlineStr">
        <is>
          <t>People</t>
        </is>
      </c>
      <c r="B17" s="7" t="inlineStr">
        <is>
          <t>Stakeholder introductions done with one line of context each</t>
        </is>
      </c>
      <c r="C17" s="7" t="inlineStr">
        <is>
          <t>Names without context are useless to the receiver</t>
        </is>
      </c>
    </row>
    <row r="18">
      <c r="A18" s="7" t="inlineStr">
        <is>
          <t>People</t>
        </is>
      </c>
      <c r="B18" s="7" t="inlineStr">
        <is>
          <t>One named decision-maker on each side, in writing</t>
        </is>
      </c>
      <c r="C18" s="7" t="inlineStr">
        <is>
          <t>Two owners means no owner</t>
        </is>
      </c>
    </row>
    <row r="19">
      <c r="A19" s="7" t="inlineStr">
        <is>
          <t>Support</t>
        </is>
      </c>
      <c r="B19" s="7" t="inlineStr">
        <is>
          <t>Support window: dates, what is covered, response time, and what costs extra</t>
        </is>
      </c>
      <c r="C19" s="7" t="inlineStr">
        <is>
          <t>An undefined window becomes free, permanent, unlimited support</t>
        </is>
      </c>
    </row>
  </sheetData>
  <pageMargins left="0.75" right="0.75" top="1" bottom="1" header="0.5" footer="0.5"/>
</worksheet>
</file>

<file path=xl/worksheets/sheet3.xml><?xml version="1.0" encoding="utf-8"?>
<worksheet xmlns="http://schemas.openxmlformats.org/spreadsheetml/2006/main">
  <sheetPr>
    <outlinePr summaryBelow="1" summaryRight="1"/>
  </sheetPr>
  <dimension ref="A1:H38"/>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46" customWidth="1" min="3" max="3"/>
    <col width="22" customWidth="1" min="4" max="4"/>
    <col width="14" customWidth="1" min="5" max="5"/>
    <col width="13" customWidth="1" min="6" max="6"/>
    <col width="30" customWidth="1" min="7" max="7"/>
    <col width="26" customWidth="1" min="8" max="8"/>
  </cols>
  <sheetData>
    <row r="1">
      <c r="A1" s="1" t="inlineStr">
        <is>
          <t>Project</t>
        </is>
      </c>
      <c r="B1" s="1" t="inlineStr">
        <is>
          <t>Category</t>
        </is>
      </c>
      <c r="C1" s="1" t="inlineStr">
        <is>
          <t>Item</t>
        </is>
      </c>
      <c r="D1" s="1" t="inlineStr">
        <is>
          <t>Access transferred (Y/N)</t>
        </is>
      </c>
      <c r="E1" s="1" t="inlineStr">
        <is>
          <t>Verified by</t>
        </is>
      </c>
      <c r="F1" s="1" t="inlineStr">
        <is>
          <t>Verified date</t>
        </is>
      </c>
      <c r="G1" s="1" t="inlineStr">
        <is>
          <t>Where it lives (URL / path)</t>
        </is>
      </c>
      <c r="H1" s="1" t="inlineStr">
        <is>
          <t>Proof note</t>
        </is>
      </c>
    </row>
    <row r="2">
      <c r="A2" s="2" t="inlineStr">
        <is>
          <t>EXAMPLE Website rebuild</t>
        </is>
      </c>
      <c r="B2" s="2" t="inlineStr">
        <is>
          <t>Code</t>
        </is>
      </c>
      <c r="C2" s="2" t="inlineStr">
        <is>
          <t>Repo ownership + deploy keys</t>
        </is>
      </c>
      <c r="D2" s="2" t="inlineStr">
        <is>
          <t>N</t>
        </is>
      </c>
      <c r="E2" s="2" t="inlineStr"/>
      <c r="F2" s="3" t="n"/>
      <c r="G2" s="2" t="inlineStr">
        <is>
          <t>github.com/…</t>
        </is>
      </c>
      <c r="H2" s="2" t="inlineStr"/>
    </row>
    <row r="3">
      <c r="A3" s="2" t="inlineStr">
        <is>
          <t>EXAMPLE Website rebuild</t>
        </is>
      </c>
      <c r="B3" s="2" t="inlineStr">
        <is>
          <t>Accounts</t>
        </is>
      </c>
      <c r="C3" s="2" t="inlineStr">
        <is>
          <t>DNS registrar ownership</t>
        </is>
      </c>
      <c r="D3" s="2" t="inlineStr">
        <is>
          <t>N</t>
        </is>
      </c>
      <c r="E3" s="2" t="inlineStr"/>
      <c r="F3" s="3" t="n"/>
      <c r="G3" s="2" t="inlineStr">
        <is>
          <t>registrar login</t>
        </is>
      </c>
      <c r="H3" s="2" t="inlineStr"/>
    </row>
    <row r="4">
      <c r="A4" s="2" t="inlineStr">
        <is>
          <t>EXAMPLE Website rebuild</t>
        </is>
      </c>
      <c r="B4" s="2" t="inlineStr">
        <is>
          <t>Money</t>
        </is>
      </c>
      <c r="C4" s="2" t="inlineStr">
        <is>
          <t>Final invoice issued</t>
        </is>
      </c>
      <c r="D4" s="2" t="inlineStr">
        <is>
          <t>N</t>
        </is>
      </c>
      <c r="E4" s="2" t="inlineStr"/>
      <c r="F4" s="3" t="n"/>
      <c r="G4" s="2" t="inlineStr"/>
      <c r="H4" s="2" t="inlineStr"/>
    </row>
    <row r="5">
      <c r="A5" s="7" t="inlineStr"/>
      <c r="B5" s="7" t="inlineStr"/>
      <c r="C5" s="7" t="inlineStr"/>
      <c r="D5" s="7" t="inlineStr"/>
      <c r="E5" s="7" t="inlineStr"/>
      <c r="F5" s="8" t="n"/>
      <c r="G5" s="7" t="inlineStr"/>
      <c r="H5" s="7" t="inlineStr"/>
    </row>
    <row r="6">
      <c r="A6" s="7" t="inlineStr"/>
      <c r="B6" s="7" t="inlineStr"/>
      <c r="C6" s="7" t="inlineStr"/>
      <c r="D6" s="7" t="inlineStr"/>
      <c r="E6" s="7" t="inlineStr"/>
      <c r="F6" s="8" t="n"/>
      <c r="G6" s="7" t="inlineStr"/>
      <c r="H6" s="7" t="inlineStr"/>
    </row>
    <row r="7">
      <c r="A7" s="7" t="inlineStr"/>
      <c r="B7" s="7" t="inlineStr"/>
      <c r="C7" s="7" t="inlineStr"/>
      <c r="D7" s="7" t="inlineStr"/>
      <c r="E7" s="7" t="inlineStr"/>
      <c r="F7" s="8" t="n"/>
      <c r="G7" s="7" t="inlineStr"/>
      <c r="H7" s="7" t="inlineStr"/>
    </row>
    <row r="8">
      <c r="A8" s="7" t="inlineStr"/>
      <c r="B8" s="7" t="inlineStr"/>
      <c r="C8" s="7" t="inlineStr"/>
      <c r="D8" s="7" t="inlineStr"/>
      <c r="E8" s="7" t="inlineStr"/>
      <c r="F8" s="8" t="n"/>
      <c r="G8" s="7" t="inlineStr"/>
      <c r="H8" s="7" t="inlineStr"/>
    </row>
    <row r="9">
      <c r="A9" s="7" t="inlineStr"/>
      <c r="B9" s="7" t="inlineStr"/>
      <c r="C9" s="7" t="inlineStr"/>
      <c r="D9" s="7" t="inlineStr"/>
      <c r="E9" s="7" t="inlineStr"/>
      <c r="F9" s="8" t="n"/>
      <c r="G9" s="7" t="inlineStr"/>
      <c r="H9" s="7" t="inlineStr"/>
    </row>
    <row r="10">
      <c r="A10" s="7" t="inlineStr"/>
      <c r="B10" s="7" t="inlineStr"/>
      <c r="C10" s="7" t="inlineStr"/>
      <c r="D10" s="7" t="inlineStr"/>
      <c r="E10" s="7" t="inlineStr"/>
      <c r="F10" s="8" t="n"/>
      <c r="G10" s="7" t="inlineStr"/>
      <c r="H10" s="7" t="inlineStr"/>
    </row>
    <row r="11">
      <c r="A11" s="7" t="inlineStr"/>
      <c r="B11" s="7" t="inlineStr"/>
      <c r="C11" s="7" t="inlineStr"/>
      <c r="D11" s="7" t="inlineStr"/>
      <c r="E11" s="7" t="inlineStr"/>
      <c r="F11" s="8" t="n"/>
      <c r="G11" s="7" t="inlineStr"/>
      <c r="H11" s="7" t="inlineStr"/>
    </row>
    <row r="12">
      <c r="A12" s="7" t="inlineStr"/>
      <c r="B12" s="7" t="inlineStr"/>
      <c r="C12" s="7" t="inlineStr"/>
      <c r="D12" s="7" t="inlineStr"/>
      <c r="E12" s="7" t="inlineStr"/>
      <c r="F12" s="8" t="n"/>
      <c r="G12" s="7" t="inlineStr"/>
      <c r="H12" s="7" t="inlineStr"/>
    </row>
    <row r="13">
      <c r="A13" s="7" t="inlineStr"/>
      <c r="B13" s="7" t="inlineStr"/>
      <c r="C13" s="7" t="inlineStr"/>
      <c r="D13" s="7" t="inlineStr"/>
      <c r="E13" s="7" t="inlineStr"/>
      <c r="F13" s="8" t="n"/>
      <c r="G13" s="7" t="inlineStr"/>
      <c r="H13" s="7" t="inlineStr"/>
    </row>
    <row r="14">
      <c r="A14" s="7" t="inlineStr"/>
      <c r="B14" s="7" t="inlineStr"/>
      <c r="C14" s="7" t="inlineStr"/>
      <c r="D14" s="7" t="inlineStr"/>
      <c r="E14" s="7" t="inlineStr"/>
      <c r="F14" s="8" t="n"/>
      <c r="G14" s="7" t="inlineStr"/>
      <c r="H14" s="7" t="inlineStr"/>
    </row>
    <row r="15">
      <c r="A15" s="7" t="inlineStr"/>
      <c r="B15" s="7" t="inlineStr"/>
      <c r="C15" s="7" t="inlineStr"/>
      <c r="D15" s="7" t="inlineStr"/>
      <c r="E15" s="7" t="inlineStr"/>
      <c r="F15" s="8" t="n"/>
      <c r="G15" s="7" t="inlineStr"/>
      <c r="H15" s="7" t="inlineStr"/>
    </row>
    <row r="16">
      <c r="A16" s="7" t="inlineStr"/>
      <c r="B16" s="7" t="inlineStr"/>
      <c r="C16" s="7" t="inlineStr"/>
      <c r="D16" s="7" t="inlineStr"/>
      <c r="E16" s="7" t="inlineStr"/>
      <c r="F16" s="8" t="n"/>
      <c r="G16" s="7" t="inlineStr"/>
      <c r="H16" s="7" t="inlineStr"/>
    </row>
    <row r="17">
      <c r="A17" s="7" t="inlineStr"/>
      <c r="B17" s="7" t="inlineStr"/>
      <c r="C17" s="7" t="inlineStr"/>
      <c r="D17" s="7" t="inlineStr"/>
      <c r="E17" s="7" t="inlineStr"/>
      <c r="F17" s="8" t="n"/>
      <c r="G17" s="7" t="inlineStr"/>
      <c r="H17" s="7" t="inlineStr"/>
    </row>
    <row r="18">
      <c r="A18" s="7" t="inlineStr"/>
      <c r="B18" s="7" t="inlineStr"/>
      <c r="C18" s="7" t="inlineStr"/>
      <c r="D18" s="7" t="inlineStr"/>
      <c r="E18" s="7" t="inlineStr"/>
      <c r="F18" s="8" t="n"/>
      <c r="G18" s="7" t="inlineStr"/>
      <c r="H18" s="7" t="inlineStr"/>
    </row>
    <row r="19">
      <c r="A19" s="7" t="inlineStr"/>
      <c r="B19" s="7" t="inlineStr"/>
      <c r="C19" s="7" t="inlineStr"/>
      <c r="D19" s="7" t="inlineStr"/>
      <c r="E19" s="7" t="inlineStr"/>
      <c r="F19" s="8" t="n"/>
      <c r="G19" s="7" t="inlineStr"/>
      <c r="H19" s="7" t="inlineStr"/>
    </row>
    <row r="20">
      <c r="A20" s="7" t="inlineStr"/>
      <c r="B20" s="7" t="inlineStr"/>
      <c r="C20" s="7" t="inlineStr"/>
      <c r="D20" s="7" t="inlineStr"/>
      <c r="E20" s="7" t="inlineStr"/>
      <c r="F20" s="8" t="n"/>
      <c r="G20" s="7" t="inlineStr"/>
      <c r="H20" s="7" t="inlineStr"/>
    </row>
    <row r="21">
      <c r="A21" s="7" t="inlineStr"/>
      <c r="B21" s="7" t="inlineStr"/>
      <c r="C21" s="7" t="inlineStr"/>
      <c r="D21" s="7" t="inlineStr"/>
      <c r="E21" s="7" t="inlineStr"/>
      <c r="F21" s="8" t="n"/>
      <c r="G21" s="7" t="inlineStr"/>
      <c r="H21" s="7" t="inlineStr"/>
    </row>
    <row r="22">
      <c r="A22" s="7" t="inlineStr"/>
      <c r="B22" s="7" t="inlineStr"/>
      <c r="C22" s="7" t="inlineStr"/>
      <c r="D22" s="7" t="inlineStr"/>
      <c r="E22" s="7" t="inlineStr"/>
      <c r="F22" s="8" t="n"/>
      <c r="G22" s="7" t="inlineStr"/>
      <c r="H22" s="7" t="inlineStr"/>
    </row>
    <row r="23">
      <c r="A23" s="7" t="inlineStr"/>
      <c r="B23" s="7" t="inlineStr"/>
      <c r="C23" s="7" t="inlineStr"/>
      <c r="D23" s="7" t="inlineStr"/>
      <c r="E23" s="7" t="inlineStr"/>
      <c r="F23" s="8" t="n"/>
      <c r="G23" s="7" t="inlineStr"/>
      <c r="H23" s="7" t="inlineStr"/>
    </row>
    <row r="24">
      <c r="A24" s="7" t="inlineStr"/>
      <c r="B24" s="7" t="inlineStr"/>
      <c r="C24" s="7" t="inlineStr"/>
      <c r="D24" s="7" t="inlineStr"/>
      <c r="E24" s="7" t="inlineStr"/>
      <c r="F24" s="8" t="n"/>
      <c r="G24" s="7" t="inlineStr"/>
      <c r="H24" s="7" t="inlineStr"/>
    </row>
    <row r="25">
      <c r="A25" s="7" t="inlineStr"/>
      <c r="B25" s="7" t="inlineStr"/>
      <c r="C25" s="7" t="inlineStr"/>
      <c r="D25" s="7" t="inlineStr"/>
      <c r="E25" s="7" t="inlineStr"/>
      <c r="F25" s="8" t="n"/>
      <c r="G25" s="7" t="inlineStr"/>
      <c r="H25" s="7" t="inlineStr"/>
    </row>
    <row r="26">
      <c r="A26" s="7" t="inlineStr"/>
      <c r="B26" s="7" t="inlineStr"/>
      <c r="C26" s="7" t="inlineStr"/>
      <c r="D26" s="7" t="inlineStr"/>
      <c r="E26" s="7" t="inlineStr"/>
      <c r="F26" s="8" t="n"/>
      <c r="G26" s="7" t="inlineStr"/>
      <c r="H26" s="7" t="inlineStr"/>
    </row>
    <row r="27">
      <c r="A27" s="7" t="inlineStr"/>
      <c r="B27" s="7" t="inlineStr"/>
      <c r="C27" s="7" t="inlineStr"/>
      <c r="D27" s="7" t="inlineStr"/>
      <c r="E27" s="7" t="inlineStr"/>
      <c r="F27" s="8" t="n"/>
      <c r="G27" s="7" t="inlineStr"/>
      <c r="H27" s="7" t="inlineStr"/>
    </row>
    <row r="28">
      <c r="A28" s="7" t="inlineStr"/>
      <c r="B28" s="7" t="inlineStr"/>
      <c r="C28" s="7" t="inlineStr"/>
      <c r="D28" s="7" t="inlineStr"/>
      <c r="E28" s="7" t="inlineStr"/>
      <c r="F28" s="8" t="n"/>
      <c r="G28" s="7" t="inlineStr"/>
      <c r="H28" s="7" t="inlineStr"/>
    </row>
    <row r="29">
      <c r="A29" s="7" t="inlineStr"/>
      <c r="B29" s="7" t="inlineStr"/>
      <c r="C29" s="7" t="inlineStr"/>
      <c r="D29" s="7" t="inlineStr"/>
      <c r="E29" s="7" t="inlineStr"/>
      <c r="F29" s="8" t="n"/>
      <c r="G29" s="7" t="inlineStr"/>
      <c r="H29" s="7" t="inlineStr"/>
    </row>
    <row r="30">
      <c r="A30" s="7" t="inlineStr"/>
      <c r="B30" s="7" t="inlineStr"/>
      <c r="C30" s="7" t="inlineStr"/>
      <c r="D30" s="7" t="inlineStr"/>
      <c r="E30" s="7" t="inlineStr"/>
      <c r="F30" s="8" t="n"/>
      <c r="G30" s="7" t="inlineStr"/>
      <c r="H30" s="7" t="inlineStr"/>
    </row>
    <row r="31">
      <c r="A31" s="7" t="inlineStr"/>
      <c r="B31" s="7" t="inlineStr"/>
      <c r="C31" s="7" t="inlineStr"/>
      <c r="D31" s="7" t="inlineStr"/>
      <c r="E31" s="7" t="inlineStr"/>
      <c r="F31" s="8" t="n"/>
      <c r="G31" s="7" t="inlineStr"/>
      <c r="H31" s="7" t="inlineStr"/>
    </row>
    <row r="32">
      <c r="A32" s="7" t="inlineStr"/>
      <c r="B32" s="7" t="inlineStr"/>
      <c r="C32" s="7" t="inlineStr"/>
      <c r="D32" s="7" t="inlineStr"/>
      <c r="E32" s="7" t="inlineStr"/>
      <c r="F32" s="8" t="n"/>
      <c r="G32" s="7" t="inlineStr"/>
      <c r="H32" s="7" t="inlineStr"/>
    </row>
    <row r="33">
      <c r="A33" s="7" t="inlineStr"/>
      <c r="B33" s="7" t="inlineStr"/>
      <c r="C33" s="7" t="inlineStr"/>
      <c r="D33" s="7" t="inlineStr"/>
      <c r="E33" s="7" t="inlineStr"/>
      <c r="F33" s="8" t="n"/>
      <c r="G33" s="7" t="inlineStr"/>
      <c r="H33" s="7" t="inlineStr"/>
    </row>
    <row r="34">
      <c r="A34" s="7" t="inlineStr"/>
      <c r="B34" s="7" t="inlineStr"/>
      <c r="C34" s="7" t="inlineStr"/>
      <c r="D34" s="7" t="inlineStr"/>
      <c r="E34" s="7" t="inlineStr"/>
      <c r="F34" s="8" t="n"/>
      <c r="G34" s="7" t="inlineStr"/>
      <c r="H34" s="7" t="inlineStr"/>
    </row>
    <row r="35">
      <c r="A35" s="7" t="inlineStr"/>
      <c r="B35" s="7" t="inlineStr"/>
      <c r="C35" s="7" t="inlineStr"/>
      <c r="D35" s="7" t="inlineStr"/>
      <c r="E35" s="7" t="inlineStr"/>
      <c r="F35" s="8" t="n"/>
      <c r="G35" s="7" t="inlineStr"/>
      <c r="H35" s="7" t="inlineStr"/>
    </row>
    <row r="36">
      <c r="A36" s="7" t="inlineStr"/>
      <c r="B36" s="7" t="inlineStr"/>
      <c r="C36" s="7" t="inlineStr"/>
      <c r="D36" s="7" t="inlineStr"/>
      <c r="E36" s="7" t="inlineStr"/>
      <c r="F36" s="8" t="n"/>
      <c r="G36" s="7" t="inlineStr"/>
      <c r="H36" s="7" t="inlineStr"/>
    </row>
    <row r="37">
      <c r="A37" s="7" t="inlineStr"/>
      <c r="B37" s="7" t="inlineStr"/>
      <c r="C37" s="7" t="inlineStr"/>
      <c r="D37" s="7" t="inlineStr"/>
      <c r="E37" s="7" t="inlineStr"/>
      <c r="F37" s="8" t="n"/>
      <c r="G37" s="7" t="inlineStr"/>
      <c r="H37" s="7" t="inlineStr"/>
    </row>
    <row r="38">
      <c r="A38" s="7" t="inlineStr"/>
      <c r="B38" s="7" t="inlineStr"/>
      <c r="C38" s="7" t="inlineStr"/>
      <c r="D38" s="7" t="inlineStr"/>
      <c r="E38" s="7" t="inlineStr"/>
      <c r="F38" s="8" t="n"/>
      <c r="G38" s="7" t="inlineStr"/>
      <c r="H38" s="7" t="inlineStr"/>
    </row>
  </sheetData>
  <dataValidations count="2">
    <dataValidation sqref="D2:D60" showDropDown="0" showInputMessage="0" showErrorMessage="1" allowBlank="1" errorTitle="Access transferred" error="Enter Y or N." type="list">
      <formula1>"Y,N"</formula1>
    </dataValidation>
    <dataValidation sqref="B2:B60" showDropDown="0" showInputMessage="0" showErrorMessage="1" allowBlank="1" errorTitle="Category" error="Choose a category: Code, Docs, Accounts, Money, Data, Security, People, Support." type="list">
      <formula1>"Code,Docs,Accounts,Money,Data,Security,People,Support"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sheetPr>
  <dimension ref="A1:J3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12" customWidth="1" min="3" max="3"/>
    <col width="12" customWidth="1" min="4" max="4"/>
    <col width="14" customWidth="1" min="5" max="5"/>
    <col width="12" customWidth="1" min="6" max="6"/>
    <col width="40" customWidth="1" min="7" max="7"/>
    <col width="20" customWidth="1" min="8" max="8"/>
    <col width="12" customWidth="1" min="9" max="9"/>
  </cols>
  <sheetData>
    <row r="1">
      <c r="A1" s="1" t="inlineStr">
        <is>
          <t>Project</t>
        </is>
      </c>
      <c r="B1" s="1" t="inlineStr">
        <is>
          <t>Risk (what could go wrong)</t>
        </is>
      </c>
      <c r="C1" s="1" t="inlineStr">
        <is>
          <t>Owner</t>
        </is>
      </c>
      <c r="D1" s="1" t="inlineStr">
        <is>
          <t>Severity 1-5</t>
        </is>
      </c>
      <c r="E1" s="1" t="inlineStr">
        <is>
          <t>Likelihood 1-5</t>
        </is>
      </c>
      <c r="F1" s="1" t="inlineStr">
        <is>
          <t>Score (S×L)</t>
        </is>
      </c>
      <c r="G1" s="1" t="inlineStr">
        <is>
          <t>Mitigation</t>
        </is>
      </c>
      <c r="H1" s="1" t="inlineStr">
        <is>
          <t>Status (OPEN/CLOSED)</t>
        </is>
      </c>
      <c r="I1" s="1" t="inlineStr">
        <is>
          <t>Due date</t>
        </is>
      </c>
      <c r="J1" s="11" t="inlineStr">
        <is>
          <t>A score of 12 or more (S×L) counts as a HIGH risk and blocks the close gate until it is CLOSED.</t>
        </is>
      </c>
    </row>
    <row r="2">
      <c r="A2" s="2" t="inlineStr">
        <is>
          <t>EXAMPLE Website rebuild</t>
        </is>
      </c>
      <c r="B2" s="2" t="inlineStr">
        <is>
          <t>DNS transfer fails during the window</t>
        </is>
      </c>
      <c r="C2" s="2" t="inlineStr">
        <is>
          <t>You</t>
        </is>
      </c>
      <c r="D2" s="12" t="n">
        <v>4</v>
      </c>
      <c r="E2" s="12" t="n">
        <v>3</v>
      </c>
      <c r="F2" s="6">
        <f>IF(AND(ISNUMBER(D2),ISNUMBER(E2)),D2*E2,"")</f>
        <v/>
      </c>
      <c r="G2" s="2" t="inlineStr">
        <is>
          <t>Lower TTL 48h before; keep old host warm for 72h</t>
        </is>
      </c>
      <c r="H2" s="2" t="inlineStr">
        <is>
          <t>OPEN</t>
        </is>
      </c>
      <c r="I2" s="3" t="inlineStr">
        <is>
          <t>2026-10-30</t>
        </is>
      </c>
    </row>
    <row r="3">
      <c r="A3" s="7" t="inlineStr"/>
      <c r="B3" s="7" t="inlineStr"/>
      <c r="C3" s="7" t="inlineStr"/>
      <c r="D3" s="9" t="n"/>
      <c r="E3" s="9" t="n"/>
      <c r="F3" s="6">
        <f>IF(AND(ISNUMBER(D3),ISNUMBER(E3)),D3*E3,"")</f>
        <v/>
      </c>
      <c r="G3" s="7" t="inlineStr"/>
      <c r="H3" s="7" t="inlineStr"/>
      <c r="I3" s="8" t="n"/>
    </row>
    <row r="4">
      <c r="A4" s="7" t="inlineStr"/>
      <c r="B4" s="7" t="inlineStr"/>
      <c r="C4" s="7" t="inlineStr"/>
      <c r="D4" s="9" t="n"/>
      <c r="E4" s="9" t="n"/>
      <c r="F4" s="6">
        <f>IF(AND(ISNUMBER(D4),ISNUMBER(E4)),D4*E4,"")</f>
        <v/>
      </c>
      <c r="G4" s="7" t="inlineStr"/>
      <c r="H4" s="7" t="inlineStr"/>
      <c r="I4" s="8" t="n"/>
    </row>
    <row r="5">
      <c r="A5" s="7" t="inlineStr"/>
      <c r="B5" s="7" t="inlineStr"/>
      <c r="C5" s="7" t="inlineStr"/>
      <c r="D5" s="9" t="n"/>
      <c r="E5" s="9" t="n"/>
      <c r="F5" s="6">
        <f>IF(AND(ISNUMBER(D5),ISNUMBER(E5)),D5*E5,"")</f>
        <v/>
      </c>
      <c r="G5" s="7" t="inlineStr"/>
      <c r="H5" s="7" t="inlineStr"/>
      <c r="I5" s="8" t="n"/>
    </row>
    <row r="6">
      <c r="A6" s="7" t="inlineStr"/>
      <c r="B6" s="7" t="inlineStr"/>
      <c r="C6" s="7" t="inlineStr"/>
      <c r="D6" s="9" t="n"/>
      <c r="E6" s="9" t="n"/>
      <c r="F6" s="6">
        <f>IF(AND(ISNUMBER(D6),ISNUMBER(E6)),D6*E6,"")</f>
        <v/>
      </c>
      <c r="G6" s="7" t="inlineStr"/>
      <c r="H6" s="7" t="inlineStr"/>
      <c r="I6" s="8" t="n"/>
    </row>
    <row r="7">
      <c r="A7" s="7" t="inlineStr"/>
      <c r="B7" s="7" t="inlineStr"/>
      <c r="C7" s="7" t="inlineStr"/>
      <c r="D7" s="9" t="n"/>
      <c r="E7" s="9" t="n"/>
      <c r="F7" s="6">
        <f>IF(AND(ISNUMBER(D7),ISNUMBER(E7)),D7*E7,"")</f>
        <v/>
      </c>
      <c r="G7" s="7" t="inlineStr"/>
      <c r="H7" s="7" t="inlineStr"/>
      <c r="I7" s="8" t="n"/>
    </row>
    <row r="8">
      <c r="A8" s="7" t="inlineStr"/>
      <c r="B8" s="7" t="inlineStr"/>
      <c r="C8" s="7" t="inlineStr"/>
      <c r="D8" s="9" t="n"/>
      <c r="E8" s="9" t="n"/>
      <c r="F8" s="6">
        <f>IF(AND(ISNUMBER(D8),ISNUMBER(E8)),D8*E8,"")</f>
        <v/>
      </c>
      <c r="G8" s="7" t="inlineStr"/>
      <c r="H8" s="7" t="inlineStr"/>
      <c r="I8" s="8" t="n"/>
    </row>
    <row r="9">
      <c r="A9" s="7" t="inlineStr"/>
      <c r="B9" s="7" t="inlineStr"/>
      <c r="C9" s="7" t="inlineStr"/>
      <c r="D9" s="9" t="n"/>
      <c r="E9" s="9" t="n"/>
      <c r="F9" s="6">
        <f>IF(AND(ISNUMBER(D9),ISNUMBER(E9)),D9*E9,"")</f>
        <v/>
      </c>
      <c r="G9" s="7" t="inlineStr"/>
      <c r="H9" s="7" t="inlineStr"/>
      <c r="I9" s="8" t="n"/>
    </row>
    <row r="10">
      <c r="A10" s="7" t="inlineStr"/>
      <c r="B10" s="7" t="inlineStr"/>
      <c r="C10" s="7" t="inlineStr"/>
      <c r="D10" s="9" t="n"/>
      <c r="E10" s="9" t="n"/>
      <c r="F10" s="6">
        <f>IF(AND(ISNUMBER(D10),ISNUMBER(E10)),D10*E10,"")</f>
        <v/>
      </c>
      <c r="G10" s="7" t="inlineStr"/>
      <c r="H10" s="7" t="inlineStr"/>
      <c r="I10" s="8" t="n"/>
    </row>
    <row r="11">
      <c r="A11" s="7" t="inlineStr"/>
      <c r="B11" s="7" t="inlineStr"/>
      <c r="C11" s="7" t="inlineStr"/>
      <c r="D11" s="9" t="n"/>
      <c r="E11" s="9" t="n"/>
      <c r="F11" s="6">
        <f>IF(AND(ISNUMBER(D11),ISNUMBER(E11)),D11*E11,"")</f>
        <v/>
      </c>
      <c r="G11" s="7" t="inlineStr"/>
      <c r="H11" s="7" t="inlineStr"/>
      <c r="I11" s="8" t="n"/>
    </row>
    <row r="12">
      <c r="A12" s="7" t="inlineStr"/>
      <c r="B12" s="7" t="inlineStr"/>
      <c r="C12" s="7" t="inlineStr"/>
      <c r="D12" s="9" t="n"/>
      <c r="E12" s="9" t="n"/>
      <c r="F12" s="6">
        <f>IF(AND(ISNUMBER(D12),ISNUMBER(E12)),D12*E12,"")</f>
        <v/>
      </c>
      <c r="G12" s="7" t="inlineStr"/>
      <c r="H12" s="7" t="inlineStr"/>
      <c r="I12" s="8" t="n"/>
    </row>
    <row r="13">
      <c r="A13" s="7" t="inlineStr"/>
      <c r="B13" s="7" t="inlineStr"/>
      <c r="C13" s="7" t="inlineStr"/>
      <c r="D13" s="9" t="n"/>
      <c r="E13" s="9" t="n"/>
      <c r="F13" s="6">
        <f>IF(AND(ISNUMBER(D13),ISNUMBER(E13)),D13*E13,"")</f>
        <v/>
      </c>
      <c r="G13" s="7" t="inlineStr"/>
      <c r="H13" s="7" t="inlineStr"/>
      <c r="I13" s="8" t="n"/>
    </row>
    <row r="14">
      <c r="A14" s="7" t="inlineStr"/>
      <c r="B14" s="7" t="inlineStr"/>
      <c r="C14" s="7" t="inlineStr"/>
      <c r="D14" s="9" t="n"/>
      <c r="E14" s="9" t="n"/>
      <c r="F14" s="6">
        <f>IF(AND(ISNUMBER(D14),ISNUMBER(E14)),D14*E14,"")</f>
        <v/>
      </c>
      <c r="G14" s="7" t="inlineStr"/>
      <c r="H14" s="7" t="inlineStr"/>
      <c r="I14" s="8" t="n"/>
    </row>
    <row r="15">
      <c r="A15" s="7" t="inlineStr"/>
      <c r="B15" s="7" t="inlineStr"/>
      <c r="C15" s="7" t="inlineStr"/>
      <c r="D15" s="9" t="n"/>
      <c r="E15" s="9" t="n"/>
      <c r="F15" s="6">
        <f>IF(AND(ISNUMBER(D15),ISNUMBER(E15)),D15*E15,"")</f>
        <v/>
      </c>
      <c r="G15" s="7" t="inlineStr"/>
      <c r="H15" s="7" t="inlineStr"/>
      <c r="I15" s="8" t="n"/>
    </row>
    <row r="16">
      <c r="A16" s="7" t="inlineStr"/>
      <c r="B16" s="7" t="inlineStr"/>
      <c r="C16" s="7" t="inlineStr"/>
      <c r="D16" s="9" t="n"/>
      <c r="E16" s="9" t="n"/>
      <c r="F16" s="6">
        <f>IF(AND(ISNUMBER(D16),ISNUMBER(E16)),D16*E16,"")</f>
        <v/>
      </c>
      <c r="G16" s="7" t="inlineStr"/>
      <c r="H16" s="7" t="inlineStr"/>
      <c r="I16" s="8" t="n"/>
    </row>
    <row r="17">
      <c r="A17" s="7" t="inlineStr"/>
      <c r="B17" s="7" t="inlineStr"/>
      <c r="C17" s="7" t="inlineStr"/>
      <c r="D17" s="9" t="n"/>
      <c r="E17" s="9" t="n"/>
      <c r="F17" s="6">
        <f>IF(AND(ISNUMBER(D17),ISNUMBER(E17)),D17*E17,"")</f>
        <v/>
      </c>
      <c r="G17" s="7" t="inlineStr"/>
      <c r="H17" s="7" t="inlineStr"/>
      <c r="I17" s="8" t="n"/>
    </row>
    <row r="18">
      <c r="A18" s="7" t="inlineStr"/>
      <c r="B18" s="7" t="inlineStr"/>
      <c r="C18" s="7" t="inlineStr"/>
      <c r="D18" s="9" t="n"/>
      <c r="E18" s="9" t="n"/>
      <c r="F18" s="6">
        <f>IF(AND(ISNUMBER(D18),ISNUMBER(E18)),D18*E18,"")</f>
        <v/>
      </c>
      <c r="G18" s="7" t="inlineStr"/>
      <c r="H18" s="7" t="inlineStr"/>
      <c r="I18" s="8" t="n"/>
    </row>
    <row r="19">
      <c r="A19" s="7" t="inlineStr"/>
      <c r="B19" s="7" t="inlineStr"/>
      <c r="C19" s="7" t="inlineStr"/>
      <c r="D19" s="9" t="n"/>
      <c r="E19" s="9" t="n"/>
      <c r="F19" s="6">
        <f>IF(AND(ISNUMBER(D19),ISNUMBER(E19)),D19*E19,"")</f>
        <v/>
      </c>
      <c r="G19" s="7" t="inlineStr"/>
      <c r="H19" s="7" t="inlineStr"/>
      <c r="I19" s="8" t="n"/>
    </row>
    <row r="20">
      <c r="A20" s="7" t="inlineStr"/>
      <c r="B20" s="7" t="inlineStr"/>
      <c r="C20" s="7" t="inlineStr"/>
      <c r="D20" s="9" t="n"/>
      <c r="E20" s="9" t="n"/>
      <c r="F20" s="6">
        <f>IF(AND(ISNUMBER(D20),ISNUMBER(E20)),D20*E20,"")</f>
        <v/>
      </c>
      <c r="G20" s="7" t="inlineStr"/>
      <c r="H20" s="7" t="inlineStr"/>
      <c r="I20" s="8" t="n"/>
    </row>
    <row r="21">
      <c r="A21" s="7" t="inlineStr"/>
      <c r="B21" s="7" t="inlineStr"/>
      <c r="C21" s="7" t="inlineStr"/>
      <c r="D21" s="9" t="n"/>
      <c r="E21" s="9" t="n"/>
      <c r="F21" s="6">
        <f>IF(AND(ISNUMBER(D21),ISNUMBER(E21)),D21*E21,"")</f>
        <v/>
      </c>
      <c r="G21" s="7" t="inlineStr"/>
      <c r="H21" s="7" t="inlineStr"/>
      <c r="I21" s="8" t="n"/>
    </row>
    <row r="22">
      <c r="A22" s="7" t="inlineStr"/>
      <c r="B22" s="7" t="inlineStr"/>
      <c r="C22" s="7" t="inlineStr"/>
      <c r="D22" s="9" t="n"/>
      <c r="E22" s="9" t="n"/>
      <c r="F22" s="6">
        <f>IF(AND(ISNUMBER(D22),ISNUMBER(E22)),D22*E22,"")</f>
        <v/>
      </c>
      <c r="G22" s="7" t="inlineStr"/>
      <c r="H22" s="7" t="inlineStr"/>
      <c r="I22" s="8" t="n"/>
    </row>
    <row r="23">
      <c r="A23" s="7" t="inlineStr"/>
      <c r="B23" s="7" t="inlineStr"/>
      <c r="C23" s="7" t="inlineStr"/>
      <c r="D23" s="9" t="n"/>
      <c r="E23" s="9" t="n"/>
      <c r="F23" s="6">
        <f>IF(AND(ISNUMBER(D23),ISNUMBER(E23)),D23*E23,"")</f>
        <v/>
      </c>
      <c r="G23" s="7" t="inlineStr"/>
      <c r="H23" s="7" t="inlineStr"/>
      <c r="I23" s="8" t="n"/>
    </row>
    <row r="24">
      <c r="A24" s="7" t="inlineStr"/>
      <c r="B24" s="7" t="inlineStr"/>
      <c r="C24" s="7" t="inlineStr"/>
      <c r="D24" s="9" t="n"/>
      <c r="E24" s="9" t="n"/>
      <c r="F24" s="6">
        <f>IF(AND(ISNUMBER(D24),ISNUMBER(E24)),D24*E24,"")</f>
        <v/>
      </c>
      <c r="G24" s="7" t="inlineStr"/>
      <c r="H24" s="7" t="inlineStr"/>
      <c r="I24" s="8" t="n"/>
    </row>
    <row r="25">
      <c r="A25" s="7" t="inlineStr"/>
      <c r="B25" s="7" t="inlineStr"/>
      <c r="C25" s="7" t="inlineStr"/>
      <c r="D25" s="9" t="n"/>
      <c r="E25" s="9" t="n"/>
      <c r="F25" s="6">
        <f>IF(AND(ISNUMBER(D25),ISNUMBER(E25)),D25*E25,"")</f>
        <v/>
      </c>
      <c r="G25" s="7" t="inlineStr"/>
      <c r="H25" s="7" t="inlineStr"/>
      <c r="I25" s="8" t="n"/>
    </row>
    <row r="26">
      <c r="A26" s="7" t="inlineStr"/>
      <c r="B26" s="7" t="inlineStr"/>
      <c r="C26" s="7" t="inlineStr"/>
      <c r="D26" s="9" t="n"/>
      <c r="E26" s="9" t="n"/>
      <c r="F26" s="6">
        <f>IF(AND(ISNUMBER(D26),ISNUMBER(E26)),D26*E26,"")</f>
        <v/>
      </c>
      <c r="G26" s="7" t="inlineStr"/>
      <c r="H26" s="7" t="inlineStr"/>
      <c r="I26" s="8" t="n"/>
    </row>
    <row r="27">
      <c r="A27" s="7" t="inlineStr"/>
      <c r="B27" s="7" t="inlineStr"/>
      <c r="C27" s="7" t="inlineStr"/>
      <c r="D27" s="9" t="n"/>
      <c r="E27" s="9" t="n"/>
      <c r="F27" s="6">
        <f>IF(AND(ISNUMBER(D27),ISNUMBER(E27)),D27*E27,"")</f>
        <v/>
      </c>
      <c r="G27" s="7" t="inlineStr"/>
      <c r="H27" s="7" t="inlineStr"/>
      <c r="I27" s="8" t="n"/>
    </row>
    <row r="28">
      <c r="F28" s="13">
        <f>IF(AND(ISNUMBER(D28),ISNUMBER(E28)),D28*E28,"")</f>
        <v/>
      </c>
    </row>
    <row r="29">
      <c r="F29" s="13">
        <f>IF(AND(ISNUMBER(D29),ISNUMBER(E29)),D29*E29,"")</f>
        <v/>
      </c>
    </row>
    <row r="30">
      <c r="F30" s="13">
        <f>IF(AND(ISNUMBER(D30),ISNUMBER(E30)),D30*E30,"")</f>
        <v/>
      </c>
    </row>
    <row r="31">
      <c r="F31" s="13">
        <f>IF(AND(ISNUMBER(D31),ISNUMBER(E31)),D31*E31,"")</f>
        <v/>
      </c>
    </row>
    <row r="32">
      <c r="F32" s="13">
        <f>IF(AND(ISNUMBER(D32),ISNUMBER(E32)),D32*E32,"")</f>
        <v/>
      </c>
    </row>
    <row r="33">
      <c r="F33" s="13">
        <f>IF(AND(ISNUMBER(D33),ISNUMBER(E33)),D33*E33,"")</f>
        <v/>
      </c>
    </row>
    <row r="34">
      <c r="F34" s="13">
        <f>IF(AND(ISNUMBER(D34),ISNUMBER(E34)),D34*E34,"")</f>
        <v/>
      </c>
    </row>
    <row r="35">
      <c r="F35" s="13">
        <f>IF(AND(ISNUMBER(D35),ISNUMBER(E35)),D35*E35,"")</f>
        <v/>
      </c>
    </row>
    <row r="36">
      <c r="F36" s="13">
        <f>IF(AND(ISNUMBER(D36),ISNUMBER(E36)),D36*E36,"")</f>
        <v/>
      </c>
    </row>
    <row r="37">
      <c r="F37" s="13">
        <f>IF(AND(ISNUMBER(D37),ISNUMBER(E37)),D37*E37,"")</f>
        <v/>
      </c>
    </row>
    <row r="38">
      <c r="F38" s="13">
        <f>IF(AND(ISNUMBER(D38),ISNUMBER(E38)),D38*E38,"")</f>
        <v/>
      </c>
    </row>
    <row r="39">
      <c r="F39" s="13">
        <f>IF(AND(ISNUMBER(D39),ISNUMBER(E39)),D39*E39,"")</f>
        <v/>
      </c>
    </row>
  </sheetData>
  <dataValidations count="3">
    <dataValidation sqref="D2:D40" showDropDown="0" showInputMessage="0" showErrorMessage="1" allowBlank="1" errorTitle="Severity" error="Enter a whole number from 1 (low) to 5 (severe)." type="whole" operator="between">
      <formula1>1</formula1>
      <formula2>5</formula2>
    </dataValidation>
    <dataValidation sqref="E2:E40" showDropDown="0" showInputMessage="0" showErrorMessage="1" allowBlank="1" errorTitle="Likelihood" error="Enter a whole number from 1 (rare) to 5 (almost certain)." type="whole" operator="between">
      <formula1>1</formula1>
      <formula2>5</formula2>
    </dataValidation>
    <dataValidation sqref="H2:H40" showDropDown="0" showInputMessage="0" showErrorMessage="1" allowBlank="1" errorTitle="Status" error="Enter OPEN or CLOSED." type="list">
      <formula1>"OPEN,CLOSED"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sheetPr>
  <dimension ref="A1:C9"/>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52" customWidth="1" min="3" max="3"/>
  </cols>
  <sheetData>
    <row r="1">
      <c r="A1" s="1" t="inlineStr">
        <is>
          <t>KPI</t>
        </is>
      </c>
      <c r="B1" s="1" t="inlineStr">
        <is>
          <t>Value</t>
        </is>
      </c>
      <c r="C1" s="1" t="inlineStr">
        <is>
          <t>How it is computed</t>
        </is>
      </c>
    </row>
    <row r="2">
      <c r="A2" s="7" t="inlineStr">
        <is>
          <t>Projects tracked</t>
        </is>
      </c>
      <c r="B2" s="4">
        <f>COUNTA(HandoffRegister!$B$2:$B$15)</f>
        <v/>
      </c>
      <c r="C2" s="7" t="inlineStr">
        <is>
          <t>Named rows on HandoffRegister</t>
        </is>
      </c>
    </row>
    <row r="3">
      <c r="A3" s="7" t="inlineStr">
        <is>
          <t>Projects READY TO CLOSE</t>
        </is>
      </c>
      <c r="B3" s="4">
        <f>COUNTIF(HandoffRegister!$K$2:$K$15,"READY TO CLOSE")</f>
        <v/>
      </c>
      <c r="C3" s="7" t="inlineStr">
        <is>
          <t>Sign-off Y, assets 100%, no open high risks</t>
        </is>
      </c>
    </row>
    <row r="4">
      <c r="A4" s="7" t="inlineStr">
        <is>
          <t>Sign-offs collected</t>
        </is>
      </c>
      <c r="B4" s="4">
        <f>COUNTIF(HandoffRegister!$J$2:$J$15,"Y")</f>
        <v/>
      </c>
      <c r="C4" s="7" t="inlineStr">
        <is>
          <t>Client sign-off = Y</t>
        </is>
      </c>
    </row>
    <row r="5">
      <c r="A5" s="7" t="inlineStr">
        <is>
          <t>Open HIGH risks</t>
        </is>
      </c>
      <c r="B5" s="4">
        <f>COUNTIFS(RiskRegister!$F$2:$F$40,"&gt;=12",RiskRegister!$H$2:$H$40,"OPEN")</f>
        <v/>
      </c>
      <c r="C5" s="7" t="inlineStr">
        <is>
          <t>Score &gt;= 12 and status OPEN</t>
        </is>
      </c>
    </row>
    <row r="6">
      <c r="A6" s="7" t="inlineStr">
        <is>
          <t>Assets transferred (Y)</t>
        </is>
      </c>
      <c r="B6" s="4">
        <f>COUNTIF(AssetChecklist!$D$2:$D$60,"Y")</f>
        <v/>
      </c>
      <c r="C6" s="7" t="inlineStr">
        <is>
          <t>Access transferred = Y</t>
        </is>
      </c>
    </row>
    <row r="7">
      <c r="A7" s="7" t="inlineStr">
        <is>
          <t>Assets outstanding (N or blank)</t>
        </is>
      </c>
      <c r="B7" s="4">
        <f>COUNTA(AssetChecklist!$C$2:$C$60)-COUNTIF(AssetChecklist!$D$2:$D$60,"Y")</f>
        <v/>
      </c>
      <c r="C7" s="7" t="inlineStr">
        <is>
          <t>Named checklist items not yet transferred</t>
        </is>
      </c>
    </row>
    <row r="8">
      <c r="A8" s="7" t="inlineStr">
        <is>
          <t>Transfer readiness %</t>
        </is>
      </c>
      <c r="B8" s="5">
        <f>IFERROR(COUNTIF(AssetChecklist!$D$2:$D$60,"Y")/COUNTA(AssetChecklist!$C$2:$C$60),"")</f>
        <v/>
      </c>
      <c r="C8" s="7" t="inlineStr">
        <is>
          <t>Transferred ÷ named items</t>
        </is>
      </c>
    </row>
    <row r="9">
      <c r="A9" s="7" t="inlineStr">
        <is>
          <t>Next handoff in (days)</t>
        </is>
      </c>
      <c r="B9" s="4">
        <f>IFERROR(MIN(HandoffRegister!$F$2:$F$15),"")</f>
        <v/>
      </c>
      <c r="C9" s="7" t="inlineStr">
        <is>
          <t>Smallest non-empty Days to handoff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4" t="inlineStr">
        <is>
          <t>B12-002 Client Project Handoff Register — HOW TO USE</t>
        </is>
      </c>
    </row>
    <row r="2"/>
    <row r="3">
      <c r="A3" s="15" t="inlineStr">
        <is>
          <t>1) HandoffRegister: one row per project. Fill only the white cells. Blue cells compute (Days to handoff, Assets complete %, Open high risks, Close gate) and must not be overwritten. Yellow rows are EXAMPLES — overwrite or delete them.</t>
        </is>
      </c>
    </row>
    <row r="4">
      <c r="A4" s="15" t="inlineStr">
        <is>
          <t>2) AssetChecklist: add one row per item you are transferring, and set its Project name so it rolls up. Copy the exact items you need from ChecklistTemplate (Code, Docs, Accounts, Money, Data, Security, People, Support). Nothing counts as transferred until Access transferred = Y.</t>
        </is>
      </c>
    </row>
    <row r="5">
      <c r="A5" s="15" t="inlineStr">
        <is>
          <t>3) RiskRegister: log every handoff risk, score it Severity x Likelihood, and CLOSE the ones scoring 12 or more before you close the project. The close gate stays OPEN while a high risk is open.</t>
        </is>
      </c>
    </row>
    <row r="6">
      <c r="A6" s="15" t="inlineStr">
        <is>
          <t>4) Dashboard: reads the three sheets and shows transfer readiness, sign-offs, and the next handoff date. A project is 'READY TO CLOSE' only when its assets are 100%, it has no open high risks, and the client has signed off.</t>
        </is>
      </c>
    </row>
    <row r="7">
      <c r="A7" s="15" t="inlineStr">
        <is>
          <t>5) Use with the B12-002 PDF guide (the 45-minute session script and the copy-paste emails). This is a record-keeping tool, not legal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2026-10-18T22:39:44Z</dcterms:created>
  <dcterms:modified xmlns:dcterms="http://purl.org/dc/terms/" xmlns:xsi="http://www.w3.org/2001/XMLSchema-instance" xsi:type="dcterms:W3CDTF">2026-10-18T22:39:45Z</dcterms:modified>
</cp:coreProperties>
</file>