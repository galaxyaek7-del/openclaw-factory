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ientMix" sheetId="2" state="visible" r:id="rId2"/>
    <sheet xmlns:r="http://schemas.openxmlformats.org/officeDocument/2006/relationships" name="RaisePlanner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0" borderId="0" pivotButton="0" quotePrefix="0" xfId="0"/>
    <xf numFmtId="164" fontId="0" fillId="4" borderId="0" pivotButton="0" quotePrefix="0" xfId="0"/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Input</t>
        </is>
      </c>
      <c r="C1" s="1" t="inlineStr">
        <is>
          <t>Your value</t>
        </is>
      </c>
      <c r="D1" s="1" t="inlineStr">
        <is>
          <t>Notes</t>
        </is>
      </c>
    </row>
    <row r="2">
      <c r="A2" s="2" t="n">
        <v>1</v>
      </c>
      <c r="B2" s="2" t="inlineStr">
        <is>
          <t>Target annual take-home pay (USD)</t>
        </is>
      </c>
      <c r="C2" s="3" t="n">
        <v>80000</v>
      </c>
      <c r="D2" s="2" t="inlineStr">
        <is>
          <t>After tax, what you want to keep</t>
        </is>
      </c>
    </row>
    <row r="3">
      <c r="A3" s="2" t="n">
        <v>2</v>
      </c>
      <c r="B3" s="2" t="inlineStr">
        <is>
          <t>Tax + self-employment buffer %</t>
        </is>
      </c>
      <c r="C3" s="4" t="n">
        <v>0.3</v>
      </c>
      <c r="D3" s="2" t="inlineStr">
        <is>
          <t>EXAMPLE 30% — set your own rate</t>
        </is>
      </c>
      <c r="E3" s="5">
        <f>IF(AND(ISNUMBER(C3),C3&gt;0.9),"Tax buffer must be 90% or less. Type 30% (not 30).","")</f>
        <v/>
      </c>
    </row>
    <row r="4">
      <c r="A4" s="2" t="n">
        <v>3</v>
      </c>
      <c r="B4" s="2" t="inlineStr">
        <is>
          <t>Annual business expenses (USD)</t>
        </is>
      </c>
      <c r="C4" s="3" t="n">
        <v>6000</v>
      </c>
      <c r="D4" s="2" t="inlineStr">
        <is>
          <t>Tools, insurance, accounting</t>
        </is>
      </c>
    </row>
    <row r="5">
      <c r="A5" s="2" t="n">
        <v>4</v>
      </c>
      <c r="B5" s="2" t="inlineStr">
        <is>
          <t>Billable weeks per year</t>
        </is>
      </c>
      <c r="C5" s="3" t="n">
        <v>46</v>
      </c>
      <c r="D5" s="2" t="inlineStr">
        <is>
          <t>52 minus vacation, gaps, admin</t>
        </is>
      </c>
    </row>
    <row r="6">
      <c r="A6" s="2" t="n">
        <v>5</v>
      </c>
      <c r="B6" s="2" t="inlineStr">
        <is>
          <t>Billable hours per week</t>
        </is>
      </c>
      <c r="C6" s="3" t="n">
        <v>25</v>
      </c>
      <c r="D6" s="2" t="inlineStr">
        <is>
          <t>Realistic delivery hours, not desk hours</t>
        </is>
      </c>
    </row>
    <row r="7">
      <c r="A7" s="2" t="n">
        <v>6</v>
      </c>
      <c r="B7" s="2" t="inlineStr">
        <is>
          <t>Utilization safety margin %</t>
        </is>
      </c>
      <c r="C7" s="4" t="n">
        <v>0.15</v>
      </c>
      <c r="D7" s="2" t="inlineStr">
        <is>
          <t>Buffer for scope creep and late payers</t>
        </is>
      </c>
    </row>
    <row r="8">
      <c r="C8" s="6" t="inlineStr">
        <is>
          <t>Gross revenue needed (USD)</t>
        </is>
      </c>
      <c r="D8" s="7">
        <f>IF(AND(ISNUMBER(C2),ISNUMBER(C3),ISNUMBER(C4),C2&gt;=0,C4&gt;=0,C3&gt;=0,C3&lt;1),C2/(1-C3)+C4,"Check take-home, tax % (0-90%) and expenses")</f>
        <v/>
      </c>
    </row>
    <row r="9">
      <c r="C9" s="6" t="inlineStr">
        <is>
          <t>Minimum hourly rate (USD/hr)</t>
        </is>
      </c>
      <c r="D9" s="7">
        <f>IF(NOT(ISNUMBER(D8)),"Fix the line above",IF(AND(ISNUMBER(C5),ISNUMBER(C6),C5&gt;0,C6&gt;0),D8/(C5*C6),"Check weeks and hours"))</f>
        <v/>
      </c>
    </row>
    <row r="10">
      <c r="C10" s="6" t="inlineStr">
        <is>
          <t>Rate with safety margin (USD/hr)</t>
        </is>
      </c>
      <c r="D10" s="7">
        <f>IF(NOT(ISNUMBER(D9)),"Fix the lines above",IF(AND(ISNUMBER(C7),C7&gt;=0),D9*(1+C7),"Check safety margin %"))</f>
        <v/>
      </c>
    </row>
  </sheetData>
  <dataValidations count="6">
    <dataValidation sqref="C2" showDropDown="0" showInputMessage="1" showErrorMessage="1" allowBlank="0" errorTitle="Take-home pay" error="Enter a yearly amount in USD, 0 or more." promptTitle="Take-home pay" prompt="Enter a yearly amount in USD, 0 or more." type="decimal" operator="between">
      <formula1>0</formula1>
      <formula2>10000000</formula2>
    </dataValidation>
    <dataValidation sqref="C3" showDropDown="0" showInputMessage="1" showErrorMessage="1" allowBlank="0" errorTitle="Tax buffer" error="Enter a percentage between 0% and 90%, e.g. 30% (not 30)." promptTitle="Tax buffer" prompt="Enter a percentage between 0% and 90%, e.g. 30% (not 30)." type="decimal" operator="between">
      <formula1>0</formula1>
      <formula2>0.9</formula2>
    </dataValidation>
    <dataValidation sqref="C4" showDropDown="0" showInputMessage="1" showErrorMessage="1" allowBlank="0" errorTitle="Expenses" error="Enter yearly expenses in USD, 0 or more." promptTitle="Expenses" prompt="Enter yearly expenses in USD, 0 or more." type="decimal" operator="between">
      <formula1>0</formula1>
      <formula2>10000000</formula2>
    </dataValidation>
    <dataValidation sqref="C5" showDropDown="0" showInputMessage="1" showErrorMessage="1" allowBlank="0" errorTitle="Billable weeks" error="Enter a whole number of weeks between 1 and 52." promptTitle="Billable weeks" prompt="Enter a whole number of weeks between 1 and 52." type="whole" operator="between">
      <formula1>1</formula1>
      <formula2>52</formula2>
    </dataValidation>
    <dataValidation sqref="C6" showDropDown="0" showInputMessage="1" showErrorMessage="1" allowBlank="0" errorTitle="Billable hours" error="Enter billable hours per week between 1 and 80." promptTitle="Billable hours" prompt="Enter billable hours per week between 1 and 80." type="decimal" operator="between">
      <formula1>1</formula1>
      <formula2>80</formula2>
    </dataValidation>
    <dataValidation sqref="C7" showDropDown="0" showInputMessage="1" showErrorMessage="1" allowBlank="0" errorTitle="Safety margin" error="Enter a percentage between 0% and 100%, e.g. 15% (not 15)." promptTitle="Safety margin" prompt="Enter a percentage between 0% and 100%, e.g. 15% (not 15).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Client</t>
        </is>
      </c>
      <c r="B1" s="1" t="inlineStr">
        <is>
          <t>Hours/mo</t>
        </is>
      </c>
      <c r="C1" s="1" t="inlineStr">
        <is>
          <t>Rate/hr (USD)</t>
        </is>
      </c>
      <c r="D1" s="1" t="inlineStr">
        <is>
          <t>Monthly revenue (USD)</t>
        </is>
      </c>
      <c r="E1" s="1" t="inlineStr">
        <is>
          <t>Hassle score 1-5</t>
        </is>
      </c>
      <c r="F1" s="1" t="inlineStr">
        <is>
          <t>Effective rank</t>
        </is>
      </c>
    </row>
    <row r="2">
      <c r="A2" s="8" t="inlineStr">
        <is>
          <t>EXAMPLE Acme Co</t>
        </is>
      </c>
      <c r="B2" s="9" t="n">
        <v>40</v>
      </c>
      <c r="C2" s="10" t="n">
        <v>95</v>
      </c>
      <c r="D2" s="11">
        <f>B2*C2</f>
        <v/>
      </c>
      <c r="E2" s="8" t="n">
        <v>2</v>
      </c>
      <c r="F2" s="11">
        <f>D2/E2</f>
        <v/>
      </c>
    </row>
    <row r="3">
      <c r="A3" s="8" t="inlineStr">
        <is>
          <t>EXAMPLE Beta LLC</t>
        </is>
      </c>
      <c r="B3" s="9" t="n">
        <v>20</v>
      </c>
      <c r="C3" s="10" t="n">
        <v>120</v>
      </c>
      <c r="D3" s="11">
        <f>B3*C3</f>
        <v/>
      </c>
      <c r="E3" s="8" t="n">
        <v>4</v>
      </c>
      <c r="F3" s="11">
        <f>D3/E3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Trigger to review</t>
        </is>
      </c>
      <c r="B1" s="1" t="inlineStr">
        <is>
          <t>Metric to check</t>
        </is>
      </c>
      <c r="C1" s="1" t="inlineStr">
        <is>
          <t>Raise %</t>
        </is>
      </c>
      <c r="D1" s="1" t="inlineStr">
        <is>
          <t>New rate (USD/hr)</t>
        </is>
      </c>
      <c r="E1" s="1" t="inlineStr">
        <is>
          <t>Date done</t>
        </is>
      </c>
    </row>
    <row r="2">
      <c r="A2" s="8" t="inlineStr">
        <is>
          <t>EXAMPLE quarterly review</t>
        </is>
      </c>
      <c r="B2" s="8" t="inlineStr">
        <is>
          <t>Utilization &gt; 85% for 6 weeks</t>
        </is>
      </c>
      <c r="C2" s="12" t="n">
        <v>0.1</v>
      </c>
      <c r="D2" s="11">
        <f>IF(ISNUMBER(Inputs!$D$10),Inputs!$D$10*(1+C2),"Fix Inputs first")</f>
        <v/>
      </c>
      <c r="E2" s="8" t="inlineStr"/>
    </row>
    <row r="3">
      <c r="A3" s="8" t="inlineStr">
        <is>
          <t>EXAMPLE new skill ships</t>
        </is>
      </c>
      <c r="B3" s="8" t="inlineStr">
        <is>
          <t>Client-paid premium work</t>
        </is>
      </c>
      <c r="C3" s="12" t="n">
        <v>0.15</v>
      </c>
      <c r="D3" s="11">
        <f>IF(ISNUMBER(Inputs!$D$10),Inputs!$D$10*(1+C3),"Fix Inputs first")</f>
        <v/>
      </c>
      <c r="E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B12-001 Freelancer Rate &amp; Raise Calculator — HOW TO USE</t>
        </is>
      </c>
    </row>
    <row r="2"/>
    <row r="3">
      <c r="A3" s="14" t="inlineStr">
        <is>
          <t>1) Fill ONLY the white input cells (column C on Inputs). Blue cells are computed — do not overwrite them. Yellow rows are EXAMPLES — overwrite with your numbers or delete them.</t>
        </is>
      </c>
    </row>
    <row r="4">
      <c r="A4" s="14" t="inlineStr">
        <is>
          <t>2) Your charge rate = Inputs!D10. Quote at or above it.</t>
        </is>
      </c>
    </row>
    <row r="5">
      <c r="A5" s="14" t="inlineStr">
        <is>
          <t>3) ClientMix: log every client monthly; sort by Effective rank (revenue per hassle point). Fire the bottom row first.</t>
        </is>
      </c>
    </row>
    <row r="6">
      <c r="A6" s="14" t="inlineStr">
        <is>
          <t>4) RaisePlanner: review on the triggers listed; never raise without a logged trigger.</t>
        </is>
      </c>
    </row>
    <row r="7">
      <c r="A7" s="14" t="inlineStr">
        <is>
          <t>This is arithmetic on YOUR inputs, not financial advice. Tax buffer is an estimate — confirm with your accountant.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2026-10-17T20:19:22Z</dcterms:created>
  <dcterms:modified xmlns:dcterms="http://purl.org/dc/terms/" xmlns:xsi="http://www.w3.org/2001/XMLSchema-instance" xsi:type="dcterms:W3CDTF">2026-10-17T20:19:22Z</dcterms:modified>
</cp:coreProperties>
</file>