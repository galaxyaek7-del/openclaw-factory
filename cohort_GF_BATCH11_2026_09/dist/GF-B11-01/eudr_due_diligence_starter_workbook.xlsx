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_Checker" sheetId="1" state="visible" r:id="rId1"/>
    <sheet xmlns:r="http://schemas.openxmlformats.org/officeDocument/2006/relationships" name="Supplier_Register" sheetId="2" state="visible" r:id="rId2"/>
    <sheet xmlns:r="http://schemas.openxmlformats.org/officeDocument/2006/relationships" name="DDS_Preparation_Log" sheetId="3" state="visible" r:id="rId3"/>
    <sheet xmlns:r="http://schemas.openxmlformats.org/officeDocument/2006/relationships" name="Deadline_Calendar" sheetId="4" state="visible" r:id="rId4"/>
    <sheet xmlns:r="http://schemas.openxmlformats.org/officeDocument/2006/relationships" name="Gap_Memo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Customs_Code</t>
        </is>
      </c>
      <c r="D1" s="1" t="inlineStr">
        <is>
          <t>Commodity_Family</t>
        </is>
      </c>
      <c r="E1" s="1" t="inlineStr">
        <is>
          <t>Scope_Decision</t>
        </is>
      </c>
      <c r="F1" s="1" t="inlineStr">
        <is>
          <t>Reason</t>
        </is>
      </c>
      <c r="G1" s="1" t="inlineStr">
        <is>
          <t>Reviewer_Function</t>
        </is>
      </c>
      <c r="H1" s="1" t="inlineStr">
        <is>
          <t>Review_Date</t>
        </is>
      </c>
    </row>
    <row r="2">
      <c r="A2" t="inlineStr">
        <is>
          <t>SKU-001</t>
        </is>
      </c>
      <c r="B2" t="inlineStr">
        <is>
          <t>Roasted Coffee 500g</t>
        </is>
      </c>
      <c r="C2" t="inlineStr">
        <is>
          <t>090121</t>
        </is>
      </c>
      <c r="D2" t="inlineStr">
        <is>
          <t>coffee</t>
        </is>
      </c>
      <c r="E2" t="inlineStr">
        <is>
          <t>In scope</t>
        </is>
      </c>
      <c r="F2" t="inlineStr">
        <is>
          <t>Maps to coffee family per annex entry</t>
        </is>
      </c>
      <c r="G2" t="inlineStr">
        <is>
          <t>Regulatory lead</t>
        </is>
      </c>
      <c r="H2" t="inlineStr">
        <is>
          <t>2026-10-15</t>
        </is>
      </c>
      <c r="I2">
        <f>COUNTA(A2:A500)</f>
        <v/>
      </c>
    </row>
    <row r="3">
      <c r="A3" t="inlineStr">
        <is>
          <t>SKU-002</t>
        </is>
      </c>
      <c r="B3" t="inlineStr">
        <is>
          <t>Cocoa Drink Mix</t>
        </is>
      </c>
      <c r="C3" t="inlineStr">
        <is>
          <t>180610</t>
        </is>
      </c>
      <c r="D3" t="inlineStr">
        <is>
          <t>cocoa</t>
        </is>
      </c>
      <c r="E3" t="inlineStr">
        <is>
          <t>In scope</t>
        </is>
      </c>
      <c r="F3" t="inlineStr">
        <is>
          <t>Cocoa preparation mapped to cocoa family</t>
        </is>
      </c>
      <c r="G3" t="inlineStr">
        <is>
          <t>Regulatory lead</t>
        </is>
      </c>
      <c r="H3" t="inlineStr">
        <is>
          <t>2026-10-15</t>
        </is>
      </c>
      <c r="I3">
        <f>COUNTIF(E2:E500,"In scope")</f>
        <v/>
      </c>
    </row>
    <row r="4">
      <c r="A4" t="inlineStr">
        <is>
          <t>SKU-003</t>
        </is>
      </c>
      <c r="B4" t="inlineStr">
        <is>
          <t>Wooden Gift Box</t>
        </is>
      </c>
      <c r="C4" t="inlineStr">
        <is>
          <t>441900</t>
        </is>
      </c>
      <c r="D4" t="inlineStr">
        <is>
          <t>wood</t>
        </is>
      </c>
      <c r="E4" t="inlineStr">
        <is>
          <t>Uncertain</t>
        </is>
      </c>
      <c r="F4" t="inlineStr">
        <is>
          <t>Code requires counsel review against current annex</t>
        </is>
      </c>
      <c r="G4" t="inlineStr">
        <is>
          <t>External counsel</t>
        </is>
      </c>
      <c r="H4" t="inlineStr">
        <is>
          <t>2026-10-20</t>
        </is>
      </c>
      <c r="I4">
        <f>COUNTIF(E2:E500,"Uncertain")</f>
        <v/>
      </c>
    </row>
    <row r="6">
      <c r="A6" t="inlineStr">
        <is>
          <t>Notes: Review quarterly and whenever assortment, codes, or official classifications change. Keep declaration extracts with out-of-scope rows.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Supplier_ID</t>
        </is>
      </c>
      <c r="B1" s="1" t="inlineStr">
        <is>
          <t>Supplier_Legal_Name</t>
        </is>
      </c>
      <c r="C1" s="1" t="inlineStr">
        <is>
          <t>Country</t>
        </is>
      </c>
      <c r="D1" s="1" t="inlineStr">
        <is>
          <t>Site</t>
        </is>
      </c>
      <c r="E1" s="1" t="inlineStr">
        <is>
          <t>Commodity</t>
        </is>
      </c>
      <c r="F1" s="1" t="inlineStr">
        <is>
          <t>Volume_Band</t>
        </is>
      </c>
      <c r="G1" s="1" t="inlineStr">
        <is>
          <t>Contact_Function</t>
        </is>
      </c>
      <c r="H1" s="1" t="inlineStr">
        <is>
          <t>Letter_Sent_Date</t>
        </is>
      </c>
      <c r="I1" s="1" t="inlineStr">
        <is>
          <t>Response_Status</t>
        </is>
      </c>
      <c r="J1" s="1" t="inlineStr">
        <is>
          <t>Plots_Received</t>
        </is>
      </c>
      <c r="K1" s="1" t="inlineStr">
        <is>
          <t>Notes</t>
        </is>
      </c>
    </row>
    <row r="2">
      <c r="A2" t="inlineStr">
        <is>
          <t>SUP-01</t>
        </is>
      </c>
      <c r="B2" t="inlineStr">
        <is>
          <t>Illustrative Coffee Supplier A</t>
        </is>
      </c>
      <c r="C2" t="inlineStr">
        <is>
          <t>Colombia</t>
        </is>
      </c>
      <c r="D2" t="inlineStr">
        <is>
          <t>Huila station</t>
        </is>
      </c>
      <c r="E2" t="inlineStr">
        <is>
          <t>coffee</t>
        </is>
      </c>
      <c r="F2" t="inlineStr">
        <is>
          <t>10-50t</t>
        </is>
      </c>
      <c r="G2" t="inlineStr">
        <is>
          <t>Sourcing manager</t>
        </is>
      </c>
      <c r="H2" t="inlineStr">
        <is>
          <t>2026-09-01</t>
        </is>
      </c>
      <c r="I2" t="inlineStr">
        <is>
          <t>Partial</t>
        </is>
      </c>
      <c r="J2" t="inlineStr">
        <is>
          <t>24 points received</t>
        </is>
      </c>
      <c r="K2" t="inlineStr">
        <is>
          <t>Polygons pending</t>
        </is>
      </c>
      <c r="M2">
        <f>COUNTA(A2:A500)</f>
        <v/>
      </c>
    </row>
    <row r="3">
      <c r="A3" t="inlineStr">
        <is>
          <t>SUP-02</t>
        </is>
      </c>
      <c r="B3" t="inlineStr">
        <is>
          <t>Illustrative Soy Supplier B</t>
        </is>
      </c>
      <c r="C3" t="inlineStr">
        <is>
          <t>Brazil</t>
        </is>
      </c>
      <c r="D3" t="inlineStr">
        <is>
          <t>Crush plant North</t>
        </is>
      </c>
      <c r="E3" t="inlineStr">
        <is>
          <t>soy</t>
        </is>
      </c>
      <c r="F3" t="inlineStr">
        <is>
          <t>50-200t</t>
        </is>
      </c>
      <c r="G3" t="inlineStr">
        <is>
          <t>QA lead</t>
        </is>
      </c>
      <c r="H3" t="inlineStr">
        <is>
          <t>2026-09-02</t>
        </is>
      </c>
      <c r="I3" t="inlineStr">
        <is>
          <t>Complete</t>
        </is>
      </c>
      <c r="J3" t="inlineStr">
        <is>
          <t>60 polygons received</t>
        </is>
      </c>
      <c r="K3" t="inlineStr">
        <is>
          <t>Chain map filed</t>
        </is>
      </c>
      <c r="M3">
        <f>COUNTIF(I2:I500,"Complete")</f>
        <v/>
      </c>
    </row>
    <row r="4">
      <c r="M4">
        <f>COUNTIF(I2:I500,"Partial")+COUNTIF(I2:I500,"Non-responsive")</f>
        <v/>
      </c>
    </row>
    <row r="6">
      <c r="A6" t="inlineStr">
        <is>
          <t>Notes: One row per supplier site. Track every send and receipt date. Escalate non-responsive sources in writing.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Lot_ID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Unit</t>
        </is>
      </c>
      <c r="E1" s="1" t="inlineStr">
        <is>
          <t>Harvest_Period</t>
        </is>
      </c>
      <c r="F1" s="1" t="inlineStr">
        <is>
          <t>Origin_Country</t>
        </is>
      </c>
      <c r="G1" s="1" t="inlineStr">
        <is>
          <t>Plot_Count</t>
        </is>
      </c>
      <c r="H1" s="1" t="inlineStr">
        <is>
          <t>Coord_File_Ref</t>
        </is>
      </c>
      <c r="I1" s="1" t="inlineStr">
        <is>
          <t>Legality_Doc_Refs</t>
        </is>
      </c>
      <c r="J1" s="1" t="inlineStr">
        <is>
          <t>Role</t>
        </is>
      </c>
      <c r="K1" s="1" t="inlineStr">
        <is>
          <t>Risk_Conclusion</t>
        </is>
      </c>
      <c r="L1" s="1" t="inlineStr">
        <is>
          <t>Reviewer_Function</t>
        </is>
      </c>
      <c r="M1" s="1" t="inlineStr">
        <is>
          <t>Approval_Date</t>
        </is>
      </c>
      <c r="N1" s="1" t="inlineStr">
        <is>
          <t>Statement_Ref</t>
        </is>
      </c>
    </row>
    <row r="2">
      <c r="A2" t="inlineStr">
        <is>
          <t>LOT-2026-001</t>
        </is>
      </c>
      <c r="B2" t="inlineStr">
        <is>
          <t>Roasted Coffee</t>
        </is>
      </c>
      <c r="C2" t="inlineStr">
        <is>
          <t>500</t>
        </is>
      </c>
      <c r="D2" t="inlineStr">
        <is>
          <t>bags</t>
        </is>
      </c>
      <c r="E2" t="inlineStr">
        <is>
          <t>Mar-Apr 2026</t>
        </is>
      </c>
      <c r="F2" t="inlineStr">
        <is>
          <t>Colombia</t>
        </is>
      </c>
      <c r="G2" t="inlineStr">
        <is>
          <t>42</t>
        </is>
      </c>
      <c r="H2" t="inlineStr">
        <is>
          <t>coord_LOT-2026-001.csv</t>
        </is>
      </c>
      <c r="I2" t="inlineStr">
        <is>
          <t>permit_01; permit_02</t>
        </is>
      </c>
      <c r="J2" t="inlineStr">
        <is>
          <t>Operator</t>
        </is>
      </c>
      <c r="K2" t="inlineStr">
        <is>
          <t>Negligible</t>
        </is>
      </c>
      <c r="L2" t="inlineStr">
        <is>
          <t>Independent reviewer</t>
        </is>
      </c>
      <c r="M2" t="inlineStr">
        <is>
          <t>2026-11-02</t>
        </is>
      </c>
      <c r="N2" t="inlineStr">
        <is>
          <t>Pending submission</t>
        </is>
      </c>
      <c r="P2">
        <f>COUNTA(A2:A500)</f>
        <v/>
      </c>
    </row>
    <row r="3">
      <c r="A3" t="inlineStr">
        <is>
          <t>LOT-2026-002</t>
        </is>
      </c>
      <c r="B3" t="inlineStr">
        <is>
          <t>Soy Meal</t>
        </is>
      </c>
      <c r="C3" t="inlineStr">
        <is>
          <t>20</t>
        </is>
      </c>
      <c r="D3" t="inlineStr">
        <is>
          <t>tonnes</t>
        </is>
      </c>
      <c r="E3" t="inlineStr">
        <is>
          <t>Feb 2026</t>
        </is>
      </c>
      <c r="F3" t="inlineStr">
        <is>
          <t>Brazil</t>
        </is>
      </c>
      <c r="G3" t="inlineStr">
        <is>
          <t>60</t>
        </is>
      </c>
      <c r="H3" t="inlineStr">
        <is>
          <t>poly_LOT-2026-002.gpkg</t>
        </is>
      </c>
      <c r="I3" t="inlineStr">
        <is>
          <t>title_01; licence_02</t>
        </is>
      </c>
      <c r="J3" t="inlineStr">
        <is>
          <t>Operator</t>
        </is>
      </c>
      <c r="K3" t="inlineStr">
        <is>
          <t>Non-negligible - mitigation open</t>
        </is>
      </c>
      <c r="L3" t="inlineStr">
        <is>
          <t>Independent reviewer</t>
        </is>
      </c>
      <c r="M3" t="inlineStr">
        <is>
          <t>2026-11-10</t>
        </is>
      </c>
      <c r="N3" t="inlineStr">
        <is>
          <t>Not submitted</t>
        </is>
      </c>
      <c r="P3">
        <f>COUNTIF(K2:K500,"Negligible")</f>
        <v/>
      </c>
    </row>
    <row r="4">
      <c r="P4">
        <f>COUNTBLANK(N2:N500)</f>
        <v/>
      </c>
    </row>
    <row r="6">
      <c r="A6" t="inlineStr">
        <is>
          <t>Notes: Freeze submitted rows. Record amendments as new rows referencing the original lot.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Milestone</t>
        </is>
      </c>
      <c r="B1" s="1" t="inlineStr">
        <is>
          <t>Owner_Function</t>
        </is>
      </c>
      <c r="C1" s="1" t="inlineStr">
        <is>
          <t>Due_Date</t>
        </is>
      </c>
      <c r="D1" s="1" t="inlineStr">
        <is>
          <t>Status</t>
        </is>
      </c>
      <c r="E1" s="1" t="inlineStr">
        <is>
          <t>Dependency</t>
        </is>
      </c>
      <c r="F1" s="1" t="inlineStr">
        <is>
          <t>Completion_Date</t>
        </is>
      </c>
      <c r="G1" s="1" t="inlineStr">
        <is>
          <t>Comment</t>
        </is>
      </c>
    </row>
    <row r="2">
      <c r="A2" t="inlineStr">
        <is>
          <t>Supplier letters sent</t>
        </is>
      </c>
      <c r="B2" t="inlineStr">
        <is>
          <t>Sourcing</t>
        </is>
      </c>
      <c r="C2" t="inlineStr">
        <is>
          <t>2026-09-05</t>
        </is>
      </c>
      <c r="D2" t="inlineStr">
        <is>
          <t>Done</t>
        </is>
      </c>
      <c r="E2" t="inlineStr">
        <is>
          <t>Scope locked</t>
        </is>
      </c>
      <c r="F2" t="inlineStr">
        <is>
          <t>2026-09-05</t>
        </is>
      </c>
      <c r="G2" t="inlineStr">
        <is>
          <t>All in-scope suppliers contacted</t>
        </is>
      </c>
      <c r="I2">
        <f>COUNTIF(D2:D100,"Done")</f>
        <v/>
      </c>
    </row>
    <row r="3">
      <c r="A3" t="inlineStr">
        <is>
          <t>Pilot coordinates received</t>
        </is>
      </c>
      <c r="B3" t="inlineStr">
        <is>
          <t>QA</t>
        </is>
      </c>
      <c r="C3" t="inlineStr">
        <is>
          <t>2026-10-01</t>
        </is>
      </c>
      <c r="D3" t="inlineStr">
        <is>
          <t>In progress</t>
        </is>
      </c>
      <c r="E3" t="inlineStr">
        <is>
          <t>Supplier response</t>
        </is>
      </c>
      <c r="F3" t="inlineStr"/>
      <c r="G3" t="inlineStr">
        <is>
          <t>Chasing 2 suppliers</t>
        </is>
      </c>
      <c r="I3">
        <f>COUNTIF(D2:D100,"Blocked")</f>
        <v/>
      </c>
    </row>
    <row r="4">
      <c r="A4" t="inlineStr">
        <is>
          <t>First statement submitted</t>
        </is>
      </c>
      <c r="B4" t="inlineStr">
        <is>
          <t>Regulatory lead</t>
        </is>
      </c>
      <c r="C4" t="inlineStr">
        <is>
          <t>2026-11-15</t>
        </is>
      </c>
      <c r="D4" t="inlineStr">
        <is>
          <t>Not started</t>
        </is>
      </c>
      <c r="E4" t="inlineStr">
        <is>
          <t>Risk sign-off</t>
        </is>
      </c>
      <c r="F4" t="inlineStr"/>
      <c r="G4" t="inlineStr">
        <is>
          <t>Depends on pilot file</t>
        </is>
      </c>
      <c r="I4">
        <f>COUNTA(A2:A100)</f>
        <v/>
      </c>
    </row>
    <row r="6">
      <c r="A6" t="inlineStr">
        <is>
          <t>Notes: Work backward from 30 Dec 2026 or 30 Jun 2027 depending on enterprise size. Review weekly.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Lot_ID</t>
        </is>
      </c>
      <c r="B1" s="1" t="inlineStr">
        <is>
          <t>Memo_Date</t>
        </is>
      </c>
      <c r="C1" s="1" t="inlineStr">
        <is>
          <t>Complete_Items</t>
        </is>
      </c>
      <c r="D1" s="1" t="inlineStr">
        <is>
          <t>Missing_Items</t>
        </is>
      </c>
      <c r="E1" s="1" t="inlineStr">
        <is>
          <t>Compensating_Evidence</t>
        </is>
      </c>
      <c r="F1" s="1" t="inlineStr">
        <is>
          <t>Risk_Conclusion</t>
        </is>
      </c>
      <c r="G1" s="1" t="inlineStr">
        <is>
          <t>Approver_Function</t>
        </is>
      </c>
      <c r="H1" s="1" t="inlineStr">
        <is>
          <t>Follow_Up_Owner</t>
        </is>
      </c>
      <c r="I1" s="1" t="inlineStr">
        <is>
          <t>Follow_Up_Date</t>
        </is>
      </c>
    </row>
    <row r="2">
      <c r="A2" t="inlineStr">
        <is>
          <t>LOT-2026-001</t>
        </is>
      </c>
      <c r="B2" t="inlineStr">
        <is>
          <t>2026-11-03</t>
        </is>
      </c>
      <c r="C2" t="inlineStr">
        <is>
          <t>Scope locked; 42 plots received</t>
        </is>
      </c>
      <c r="D2" t="inlineStr">
        <is>
          <t>2 polygons pending</t>
        </is>
      </c>
      <c r="E2" t="inlineStr">
        <is>
          <t>Site visit notes filed</t>
        </is>
      </c>
      <c r="F2" t="inlineStr">
        <is>
          <t>Negligible per reviewer</t>
        </is>
      </c>
      <c r="G2" t="inlineStr">
        <is>
          <t>Regulatory lead</t>
        </is>
      </c>
      <c r="H2" t="inlineStr">
        <is>
          <t>Sourcing</t>
        </is>
      </c>
      <c r="I2" t="inlineStr">
        <is>
          <t>2026-11-12</t>
        </is>
      </c>
      <c r="K2">
        <f>COUNTA(A2:A500)</f>
        <v/>
      </c>
    </row>
    <row r="3">
      <c r="A3" t="inlineStr">
        <is>
          <t>LOT-2026-002</t>
        </is>
      </c>
      <c r="B3" t="inlineStr">
        <is>
          <t>2026-11-11</t>
        </is>
      </c>
      <c r="C3" t="inlineStr">
        <is>
          <t>Titles received</t>
        </is>
      </c>
      <c r="D3" t="inlineStr">
        <is>
          <t>Silo segregation unconfirmed</t>
        </is>
      </c>
      <c r="E3" t="inlineStr">
        <is>
          <t>Intake logs partial</t>
        </is>
      </c>
      <c r="F3" t="inlineStr">
        <is>
          <t>Non-negligible</t>
        </is>
      </c>
      <c r="G3" t="inlineStr">
        <is>
          <t>Regulatory lead</t>
        </is>
      </c>
      <c r="H3" t="inlineStr">
        <is>
          <t>QA</t>
        </is>
      </c>
      <c r="I3" t="inlineStr">
        <is>
          <t>2026-11-20</t>
        </is>
      </c>
      <c r="K3">
        <f>COUNTIF(F2:F500,"Negligible*")</f>
        <v/>
      </c>
    </row>
    <row r="5">
      <c r="A5" t="inlineStr">
        <is>
          <t>Notes: One memo per lot. Copy open actions into the next lot for the same supplier.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2026-09-28T17:06:44Z</dcterms:created>
  <dcterms:modified xmlns:dcterms="http://purl.org/dc/terms/" xmlns:xsi="http://www.w3.org/2001/XMLSchema-instance" xsi:type="dcterms:W3CDTF">2026-09-28T17:06:44Z</dcterms:modified>
</cp:coreProperties>
</file>