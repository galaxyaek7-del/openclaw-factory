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Condition Log" sheetId="1" state="visible" r:id="rId1"/>
    <sheet xmlns:r="http://schemas.openxmlformats.org/officeDocument/2006/relationships" name="Photo Inventory Sheet" sheetId="2" state="visible" r:id="rId2"/>
    <sheet xmlns:r="http://schemas.openxmlformats.org/officeDocument/2006/relationships" name="Signature Tracker" sheetId="3" state="visible" r:id="rId3"/>
    <sheet xmlns:r="http://schemas.openxmlformats.org/officeDocument/2006/relationships" name="Wear Vs Damag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Property Address And Unit</t>
        </is>
      </c>
      <c r="B1" s="1" t="inlineStr">
        <is>
          <t>Room Or Area</t>
        </is>
      </c>
      <c r="C1" s="1" t="inlineStr">
        <is>
          <t>Item Or Surface</t>
        </is>
      </c>
      <c r="D1" s="1" t="inlineStr">
        <is>
          <t>Move-In Condition Note</t>
        </is>
      </c>
      <c r="E1" s="1" t="inlineStr">
        <is>
          <t>Photo ID(s)</t>
        </is>
      </c>
      <c r="F1" s="1" t="inlineStr">
        <is>
          <t>Tenant Initials</t>
        </is>
      </c>
      <c r="G1" s="1" t="inlineStr">
        <is>
          <t>Landlord Initials</t>
        </is>
      </c>
      <c r="H1" s="1" t="inlineStr">
        <is>
          <t>Date (YYYY-MM-DD)</t>
        </is>
      </c>
      <c r="I1" s="1" t="inlineStr">
        <is>
          <t>Follow-Up Needed (Y/N)</t>
        </is>
      </c>
    </row>
    <row r="2">
      <c r="A2" t="inlineStr">
        <is>
          <t>1240 Maple St Unit B (illustrative example)</t>
        </is>
      </c>
      <c r="B2" t="inlineStr">
        <is>
          <t>Kitchen</t>
        </is>
      </c>
      <c r="C2" t="inlineStr">
        <is>
          <t>Walls and paint</t>
        </is>
      </c>
      <c r="D2" t="inlineStr">
        <is>
          <t>Light scuffs near doorway, no holes (illustrative example)</t>
        </is>
      </c>
      <c r="E2" t="inlineStr">
        <is>
          <t>IMG-001 to IMG-003 (illustrative example)</t>
        </is>
      </c>
      <c r="F2" t="inlineStr">
        <is>
          <t>JT</t>
        </is>
      </c>
      <c r="G2" t="inlineStr">
        <is>
          <t>RK</t>
        </is>
      </c>
      <c r="H2" t="inlineStr">
        <is>
          <t>2026-03-01</t>
        </is>
      </c>
      <c r="I2" t="inlineStr">
        <is>
          <t>N</t>
        </is>
      </c>
      <c r="J2">
        <f>IF(OR(E2="",F2="",G2=""),"INCOMPLETE","COMPLETE")</f>
        <v/>
      </c>
      <c r="K2">
        <f>COUNTA(E2:E200)</f>
        <v/>
      </c>
    </row>
    <row r="3">
      <c r="A3" t="inlineStr">
        <is>
          <t>1240 Maple St Unit B (illustrative example)</t>
        </is>
      </c>
      <c r="B3" t="inlineStr">
        <is>
          <t>Bathroom</t>
        </is>
      </c>
      <c r="C3" t="inlineStr">
        <is>
          <t>Tile grout</t>
        </is>
      </c>
      <c r="D3" t="inlineStr">
        <is>
          <t>Small stain near tub edge (illustrative example)</t>
        </is>
      </c>
      <c r="E3" t="inlineStr">
        <is>
          <t>IMG-014 (illustrative example)</t>
        </is>
      </c>
      <c r="F3" t="inlineStr">
        <is>
          <t>JT</t>
        </is>
      </c>
      <c r="G3" t="inlineStr">
        <is>
          <t>RK</t>
        </is>
      </c>
      <c r="H3" t="inlineStr">
        <is>
          <t>2026-03-01</t>
        </is>
      </c>
      <c r="I3" t="inlineStr">
        <is>
          <t>N</t>
        </is>
      </c>
    </row>
    <row r="4">
      <c r="A4" t="inlineStr">
        <is>
          <t>1240 Maple St Unit B (illustrative example)</t>
        </is>
      </c>
      <c r="B4" t="inlineStr">
        <is>
          <t>Bedroom 1</t>
        </is>
      </c>
      <c r="C4" t="inlineStr">
        <is>
          <t>Carpet</t>
        </is>
      </c>
      <c r="D4" t="inlineStr">
        <is>
          <t>Worn path near door, no tears (illustrative example)</t>
        </is>
      </c>
      <c r="E4" t="inlineStr">
        <is>
          <t>IMG-020 to IMG-022 (illustrative example)</t>
        </is>
      </c>
      <c r="F4" t="inlineStr">
        <is>
          <t>JT</t>
        </is>
      </c>
      <c r="G4" t="inlineStr">
        <is>
          <t>RK</t>
        </is>
      </c>
      <c r="H4" t="inlineStr">
        <is>
          <t>2026-03-01</t>
        </is>
      </c>
      <c r="I4" t="inlineStr">
        <is>
          <t>N</t>
        </is>
      </c>
    </row>
    <row r="6">
      <c r="A6" t="inlineStr">
        <is>
          <t>Notes: One row per item or surface. Photo ID links each row to the Photo Inventory Sheet. J flags rows missing photos or initials. This log is for factual condition notes only. Verify state rules locally for required checklist wording.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Photo ID</t>
        </is>
      </c>
      <c r="B1" s="1" t="inlineStr">
        <is>
          <t>Date Taken (YYYY-MM-DD)</t>
        </is>
      </c>
      <c r="C1" s="1" t="inlineStr">
        <is>
          <t>Time Taken</t>
        </is>
      </c>
      <c r="D1" s="1" t="inlineStr">
        <is>
          <t>Room Or Area</t>
        </is>
      </c>
      <c r="E1" s="1" t="inlineStr">
        <is>
          <t>Subject</t>
        </is>
      </c>
      <c r="F1" s="1" t="inlineStr">
        <is>
          <t>Photographer</t>
        </is>
      </c>
      <c r="G1" s="1" t="inlineStr">
        <is>
          <t>File Name Or Location</t>
        </is>
      </c>
      <c r="H1" s="1" t="inlineStr">
        <is>
          <t>Tenant Present (Y/N)</t>
        </is>
      </c>
      <c r="I1" s="1" t="inlineStr">
        <is>
          <t>Notes</t>
        </is>
      </c>
    </row>
    <row r="2">
      <c r="A2" t="inlineStr">
        <is>
          <t>IMG-001 (illustrative example)</t>
        </is>
      </c>
      <c r="B2" t="inlineStr">
        <is>
          <t>2026-03-01</t>
        </is>
      </c>
      <c r="C2" t="inlineStr">
        <is>
          <t>10:15</t>
        </is>
      </c>
      <c r="D2" t="inlineStr">
        <is>
          <t>Kitchen</t>
        </is>
      </c>
      <c r="E2" t="inlineStr">
        <is>
          <t>North wall near doorway</t>
        </is>
      </c>
      <c r="F2" t="inlineStr">
        <is>
          <t>RK</t>
        </is>
      </c>
      <c r="G2" t="inlineStr">
        <is>
          <t>unitB_kitchen_wall_001.jpg (illustrative example)</t>
        </is>
      </c>
      <c r="H2" t="inlineStr">
        <is>
          <t>Y</t>
        </is>
      </c>
      <c r="I2" t="inlineStr">
        <is>
          <t>Wide shot plus close-up (illustrative example)</t>
        </is>
      </c>
      <c r="J2">
        <f>COUNTIF(D2:D500,D2)</f>
        <v/>
      </c>
      <c r="K2">
        <f>IF(H2="N","CONFIRM STORAGE - TENANT ABSENT","FILED")</f>
        <v/>
      </c>
    </row>
    <row r="3">
      <c r="A3" t="inlineStr">
        <is>
          <t>IMG-002 (illustrative example)</t>
        </is>
      </c>
      <c r="B3" t="inlineStr">
        <is>
          <t>2026-03-01</t>
        </is>
      </c>
      <c r="C3" t="inlineStr">
        <is>
          <t>10:16</t>
        </is>
      </c>
      <c r="D3" t="inlineStr">
        <is>
          <t>Kitchen</t>
        </is>
      </c>
      <c r="E3" t="inlineStr">
        <is>
          <t>Countertop near sink</t>
        </is>
      </c>
      <c r="F3" t="inlineStr">
        <is>
          <t>RK</t>
        </is>
      </c>
      <c r="G3" t="inlineStr">
        <is>
          <t>unitB_kitchen_counter_002.jpg (illustrative example)</t>
        </is>
      </c>
      <c r="H3" t="inlineStr">
        <is>
          <t>Y</t>
        </is>
      </c>
      <c r="I3" t="inlineStr">
        <is>
          <t>Show existing mark clearly (illustrative example)</t>
        </is>
      </c>
    </row>
    <row r="4">
      <c r="A4" t="inlineStr">
        <is>
          <t>IMG-014 (illustrative example)</t>
        </is>
      </c>
      <c r="B4" t="inlineStr">
        <is>
          <t>2026-03-01</t>
        </is>
      </c>
      <c r="C4" t="inlineStr">
        <is>
          <t>10:40</t>
        </is>
      </c>
      <c r="D4" t="inlineStr">
        <is>
          <t>Bathroom</t>
        </is>
      </c>
      <c r="E4" t="inlineStr">
        <is>
          <t>Tub edge grout stain</t>
        </is>
      </c>
      <c r="F4" t="inlineStr">
        <is>
          <t>RK</t>
        </is>
      </c>
      <c r="G4" t="inlineStr">
        <is>
          <t>unitB_bath_tub_014.jpg (illustrative example)</t>
        </is>
      </c>
      <c r="H4" t="inlineStr">
        <is>
          <t>Y</t>
        </is>
      </c>
      <c r="I4" t="inlineStr">
        <is>
          <t>Close-up with ruler for scale (illustrative example)</t>
        </is>
      </c>
    </row>
    <row r="6">
      <c r="A6" t="inlineStr">
        <is>
          <t>Notes: One row per photo. J counts photos per room to reveal thin coverage. Keep original files unedited with timestamps intact. Store backups in a second location.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Document</t>
        </is>
      </c>
      <c r="B1" s="1" t="inlineStr">
        <is>
          <t>Signer Role</t>
        </is>
      </c>
      <c r="C1" s="1" t="inlineStr">
        <is>
          <t>Signer Name (Print)</t>
        </is>
      </c>
      <c r="D1" s="1" t="inlineStr">
        <is>
          <t>Signature Collected (Y/N)</t>
        </is>
      </c>
      <c r="E1" s="1" t="inlineStr">
        <is>
          <t>Date Signed (YYYY-MM-DD)</t>
        </is>
      </c>
      <c r="F1" s="1" t="inlineStr">
        <is>
          <t>Days From Move-In To Signature</t>
        </is>
      </c>
      <c r="G1" s="1" t="inlineStr">
        <is>
          <t>Copy Given To Tenant (Y/N)</t>
        </is>
      </c>
      <c r="H1" s="1" t="inlineStr">
        <is>
          <t>Storage Location</t>
        </is>
      </c>
      <c r="I1" s="1" t="inlineStr">
        <is>
          <t>Notes</t>
        </is>
      </c>
    </row>
    <row r="2">
      <c r="A2" t="inlineStr">
        <is>
          <t>Condition report</t>
        </is>
      </c>
      <c r="B2" t="inlineStr">
        <is>
          <t>Tenant 1 (illustrative example)</t>
        </is>
      </c>
      <c r="C2" t="inlineStr">
        <is>
          <t>Tenant J T (illustrative example)</t>
        </is>
      </c>
      <c r="D2" t="inlineStr">
        <is>
          <t>Y</t>
        </is>
      </c>
      <c r="E2" t="inlineStr">
        <is>
          <t>2026-03-01</t>
        </is>
      </c>
      <c r="F2">
        <f>IF(E2="","PENDING",E2-$M$1)</f>
        <v/>
      </c>
      <c r="G2" t="inlineStr">
        <is>
          <t>Y</t>
        </is>
      </c>
      <c r="H2" t="inlineStr">
        <is>
          <t>Binder A + drive folder</t>
        </is>
      </c>
      <c r="I2" t="inlineStr">
        <is>
          <t>Signed at walkthrough (illustrative example)</t>
        </is>
      </c>
      <c r="J2">
        <f>COUNTIF(D2:D100,"N")</f>
        <v/>
      </c>
    </row>
    <row r="3">
      <c r="A3" t="inlineStr">
        <is>
          <t>Condition report</t>
        </is>
      </c>
      <c r="B3" t="inlineStr">
        <is>
          <t>Landlord (illustrative example)</t>
        </is>
      </c>
      <c r="C3" t="inlineStr">
        <is>
          <t>Landlord R K (illustrative example)</t>
        </is>
      </c>
      <c r="D3" t="inlineStr">
        <is>
          <t>Y</t>
        </is>
      </c>
      <c r="E3" t="inlineStr">
        <is>
          <t>2026-03-01</t>
        </is>
      </c>
      <c r="F3" t="inlineStr">
        <is>
          <t>0 (illustrative example)</t>
        </is>
      </c>
      <c r="G3" t="inlineStr">
        <is>
          <t>Y</t>
        </is>
      </c>
      <c r="H3" t="inlineStr">
        <is>
          <t>Binder A + drive folder</t>
        </is>
      </c>
      <c r="I3" t="inlineStr">
        <is>
          <t>Signed at walkthrough (illustrative example)</t>
        </is>
      </c>
    </row>
    <row r="4">
      <c r="A4" t="inlineStr">
        <is>
          <t>Photo inventory acknowledgment</t>
        </is>
      </c>
      <c r="B4" t="inlineStr">
        <is>
          <t>Tenant 1 (illustrative example)</t>
        </is>
      </c>
      <c r="C4" t="inlineStr">
        <is>
          <t>Tenant J T (illustrative example)</t>
        </is>
      </c>
      <c r="D4" t="inlineStr">
        <is>
          <t>N</t>
        </is>
      </c>
      <c r="E4" t="inlineStr"/>
      <c r="F4" t="inlineStr"/>
      <c r="G4" t="inlineStr">
        <is>
          <t>N</t>
        </is>
      </c>
      <c r="H4" t="inlineStr"/>
      <c r="I4" t="inlineStr">
        <is>
          <t>Follow up within 3 days (illustrative example)</t>
        </is>
      </c>
    </row>
    <row r="6">
      <c r="A6" t="inlineStr">
        <is>
          <t>Notes: Enter M1 on this sheet as the move-in date (YYYY-MM-DD) so Days From Move-In computes correctly. J2 counts missing signatures. PENDING means the signature is still open. Verify state rules locally for signature and delivery deadlines.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Surface Or Item</t>
        </is>
      </c>
      <c r="B1" s="1" t="inlineStr">
        <is>
          <t>Often Normal Wear (Examples)</t>
        </is>
      </c>
      <c r="C1" s="1" t="inlineStr">
        <is>
          <t>Often Damage (Examples)</t>
        </is>
      </c>
      <c r="D1" s="1" t="inlineStr">
        <is>
          <t>What To Record</t>
        </is>
      </c>
      <c r="E1" s="1" t="inlineStr">
        <is>
          <t>Photo Tip</t>
        </is>
      </c>
    </row>
    <row r="2">
      <c r="A2" t="inlineStr">
        <is>
          <t>Paint and walls</t>
        </is>
      </c>
      <c r="B2" t="inlineStr">
        <is>
          <t>Faint scuffs, small nail holes per state guidance</t>
        </is>
      </c>
      <c r="C2" t="inlineStr">
        <is>
          <t>Large holes, smoke stains, crayon over wide area</t>
        </is>
      </c>
      <c r="D2" t="inlineStr">
        <is>
          <t>Size, location, count of marks</t>
        </is>
      </c>
      <c r="E2" t="inlineStr">
        <is>
          <t>Wide shot plus close-up with scale</t>
        </is>
      </c>
      <c r="F2">
        <f>COUNTA(A2:A50)</f>
        <v/>
      </c>
    </row>
    <row r="3">
      <c r="A3" t="inlineStr">
        <is>
          <t>Carpet</t>
        </is>
      </c>
      <c r="B3" t="inlineStr">
        <is>
          <t>Light traffic paths, mild pile flattening</t>
        </is>
      </c>
      <c r="C3" t="inlineStr">
        <is>
          <t>Burns, bleach spots, pet stains, tears</t>
        </is>
      </c>
      <c r="D3" t="inlineStr">
        <is>
          <t>Location, size, odor note if factual</t>
        </is>
      </c>
      <c r="E3" t="inlineStr">
        <is>
          <t>Angled light to show texture</t>
        </is>
      </c>
      <c r="F3">
        <f>LEN(D2)</f>
        <v/>
      </c>
    </row>
    <row r="4">
      <c r="A4" t="inlineStr">
        <is>
          <t>Appliances</t>
        </is>
      </c>
      <c r="B4" t="inlineStr">
        <is>
          <t>Light surface marks from normal cleaning</t>
        </is>
      </c>
      <c r="C4" t="inlineStr">
        <is>
          <t>Cracked handles, missing shelves, heavy grease</t>
        </is>
      </c>
      <c r="D4" t="inlineStr">
        <is>
          <t>Model, serial if visible, function check</t>
        </is>
      </c>
      <c r="E4" t="inlineStr">
        <is>
          <t>Interior plus exterior shots</t>
        </is>
      </c>
    </row>
    <row r="6">
      <c r="A6" t="inlineStr">
        <is>
          <t>Notes: Reference only for consistent note-taking. Normal wear vs damage definitions vary by state and lease. Verify state rules locally. F2 counts reference rows; F3 shows note length for the first row as a simple completeness nudge. This sheet is not legal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2026-09-28T17:06:49Z</dcterms:created>
  <dcterms:modified xmlns:dcterms="http://purl.org/dc/terms/" xmlns:xsi="http://www.w3.org/2001/XMLSchema-instance" xsi:type="dcterms:W3CDTF">2026-09-28T17:06:49Z</dcterms:modified>
</cp:coreProperties>
</file>