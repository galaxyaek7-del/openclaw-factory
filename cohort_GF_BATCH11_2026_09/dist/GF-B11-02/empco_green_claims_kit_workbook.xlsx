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Inventory" sheetId="1" state="visible" r:id="rId1"/>
    <sheet xmlns:r="http://schemas.openxmlformats.org/officeDocument/2006/relationships" name="Evidence_File_Log" sheetId="2" state="visible" r:id="rId2"/>
    <sheet xmlns:r="http://schemas.openxmlformats.org/officeDocument/2006/relationships" name="Risk_Scorer" sheetId="3" state="visible" r:id="rId3"/>
    <sheet xmlns:r="http://schemas.openxmlformats.org/officeDocument/2006/relationships" name="Remediation_Tracker" sheetId="4" state="visible" r:id="rId4"/>
    <sheet xmlns:r="http://schemas.openxmlformats.org/officeDocument/2006/relationships" name="Review_Workshee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Claim_ID</t>
        </is>
      </c>
      <c r="B1" s="1" t="inlineStr">
        <is>
          <t>Exact_Wording</t>
        </is>
      </c>
      <c r="C1" s="1" t="inlineStr">
        <is>
          <t>Channel</t>
        </is>
      </c>
      <c r="D1" s="1" t="inlineStr">
        <is>
          <t>URL_or_Artwork_Ref</t>
        </is>
      </c>
      <c r="E1" s="1" t="inlineStr">
        <is>
          <t>Date_Observed</t>
        </is>
      </c>
      <c r="F1" s="1" t="inlineStr">
        <is>
          <t>Owner_Function</t>
        </is>
      </c>
      <c r="G1" s="1" t="inlineStr">
        <is>
          <t>Visual_Cue</t>
        </is>
      </c>
      <c r="H1" s="1" t="inlineStr">
        <is>
          <t>Language</t>
        </is>
      </c>
    </row>
    <row r="2">
      <c r="A2" t="inlineStr">
        <is>
          <t>CLM-001</t>
        </is>
      </c>
      <c r="B2" t="inlineStr">
        <is>
          <t>Illustrative generic phrase on product page</t>
        </is>
      </c>
      <c r="C2" t="inlineStr">
        <is>
          <t>Product page</t>
        </is>
      </c>
      <c r="D2" t="inlineStr">
        <is>
          <t>PDP-042 ref</t>
        </is>
      </c>
      <c r="E2" t="inlineStr">
        <is>
          <t>2026-10-01</t>
        </is>
      </c>
      <c r="F2" t="inlineStr">
        <is>
          <t>Marketing</t>
        </is>
      </c>
      <c r="G2" t="inlineStr">
        <is>
          <t>Leaf icon beside headline</t>
        </is>
      </c>
      <c r="H2" t="inlineStr">
        <is>
          <t>EN</t>
        </is>
      </c>
      <c r="J2">
        <f>COUNTA(A2:A1000)</f>
        <v/>
      </c>
    </row>
    <row r="3">
      <c r="A3" t="inlineStr">
        <is>
          <t>CLM-002</t>
        </is>
      </c>
      <c r="B3" t="inlineStr">
        <is>
          <t>Illustrative recycled-content sentence</t>
        </is>
      </c>
      <c r="C3" t="inlineStr">
        <is>
          <t>Packaging</t>
        </is>
      </c>
      <c r="D3" t="inlineStr">
        <is>
          <t>Hang tag v3</t>
        </is>
      </c>
      <c r="E3" t="inlineStr">
        <is>
          <t>2026-10-02</t>
        </is>
      </c>
      <c r="F3" t="inlineStr">
        <is>
          <t>Design</t>
        </is>
      </c>
      <c r="G3" t="inlineStr">
        <is>
          <t>Green badge shape</t>
        </is>
      </c>
      <c r="H3" t="inlineStr">
        <is>
          <t>EN</t>
        </is>
      </c>
      <c r="J3">
        <f>COUNTIF(B2:B1000,"*eco*")</f>
        <v/>
      </c>
    </row>
    <row r="4">
      <c r="A4" t="inlineStr">
        <is>
          <t>CLM-003</t>
        </is>
      </c>
      <c r="B4" t="inlineStr">
        <is>
          <t>Illustrative climate sentence in ad</t>
        </is>
      </c>
      <c r="C4" t="inlineStr">
        <is>
          <t>Paid social</t>
        </is>
      </c>
      <c r="D4" t="inlineStr">
        <is>
          <t>Ad set 7</t>
        </is>
      </c>
      <c r="E4" t="inlineStr">
        <is>
          <t>2026-10-03</t>
        </is>
      </c>
      <c r="F4" t="inlineStr">
        <is>
          <t>Performance</t>
        </is>
      </c>
      <c r="G4" t="inlineStr">
        <is>
          <t>Globe image</t>
        </is>
      </c>
      <c r="H4" t="inlineStr">
        <is>
          <t>DE</t>
        </is>
      </c>
      <c r="J4">
        <f>COUNTA(H2:H1000)</f>
        <v/>
      </c>
    </row>
    <row r="6">
      <c r="A6" t="inlineStr">
        <is>
          <t>Notes: Capture exact wording plus imagery. Cover all languages and marketplace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Claim_ID</t>
        </is>
      </c>
      <c r="B1" s="1" t="inlineStr">
        <is>
          <t>Attribute</t>
        </is>
      </c>
      <c r="C1" s="1" t="inlineStr">
        <is>
          <t>Scope</t>
        </is>
      </c>
      <c r="D1" s="1" t="inlineStr">
        <is>
          <t>Substantiation_Type</t>
        </is>
      </c>
      <c r="E1" s="1" t="inlineStr">
        <is>
          <t>Exhibit_Ref</t>
        </is>
      </c>
      <c r="F1" s="1" t="inlineStr">
        <is>
          <t>Issuer</t>
        </is>
      </c>
      <c r="G1" s="1" t="inlineStr">
        <is>
          <t>Coverage_Match</t>
        </is>
      </c>
      <c r="H1" s="1" t="inlineStr">
        <is>
          <t>Exhibit_Date</t>
        </is>
      </c>
      <c r="I1" s="1" t="inlineStr">
        <is>
          <t>Review_Date</t>
        </is>
      </c>
    </row>
    <row r="2">
      <c r="A2" t="inlineStr">
        <is>
          <t>CLM-001</t>
        </is>
      </c>
      <c r="B2" t="inlineStr">
        <is>
          <t>General environmental benefit</t>
        </is>
      </c>
      <c r="C2" t="inlineStr">
        <is>
          <t>Whole product</t>
        </is>
      </c>
      <c r="D2" t="inlineStr">
        <is>
          <t>None on file</t>
        </is>
      </c>
      <c r="E2" t="inlineStr">
        <is>
          <t>Missing</t>
        </is>
      </c>
      <c r="F2" t="inlineStr">
        <is>
          <t>Not applicable</t>
        </is>
      </c>
      <c r="G2" t="inlineStr">
        <is>
          <t>Missing</t>
        </is>
      </c>
      <c r="H2" t="inlineStr"/>
      <c r="I2" t="inlineStr">
        <is>
          <t>2026-10-05</t>
        </is>
      </c>
      <c r="K2">
        <f>COUNTA(A2:A1000)</f>
        <v/>
      </c>
    </row>
    <row r="3">
      <c r="A3" t="inlineStr">
        <is>
          <t>CLM-002</t>
        </is>
      </c>
      <c r="B3" t="inlineStr">
        <is>
          <t>Recycled content</t>
        </is>
      </c>
      <c r="C3" t="inlineStr">
        <is>
          <t>Cap only</t>
        </is>
      </c>
      <c r="D3" t="inlineStr">
        <is>
          <t>Supplier certificate</t>
        </is>
      </c>
      <c r="E3" t="inlineStr">
        <is>
          <t>cert_cap_2026.pdf</t>
        </is>
      </c>
      <c r="F3" t="inlineStr">
        <is>
          <t>Supplier (non-independent)</t>
        </is>
      </c>
      <c r="G3" t="inlineStr">
        <is>
          <t>Partial</t>
        </is>
      </c>
      <c r="H3" t="inlineStr">
        <is>
          <t>2026-06-12</t>
        </is>
      </c>
      <c r="I3" t="inlineStr">
        <is>
          <t>2026-10-06</t>
        </is>
      </c>
      <c r="K3">
        <f>COUNTIF(G2:G1000,"Missing")</f>
        <v/>
      </c>
    </row>
    <row r="4">
      <c r="K4">
        <f>COUNTIF(G2:G1000,"Partial")</f>
        <v/>
      </c>
    </row>
    <row r="6">
      <c r="A6" t="inlineStr">
        <is>
          <t>Notes: Mark every link as direct, partial, or missing. Narrow claims to proven scope.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Claim_ID</t>
        </is>
      </c>
      <c r="B1" s="1" t="inlineStr">
        <is>
          <t>F1_Generic_Wording_1to3</t>
        </is>
      </c>
      <c r="C1" s="1" t="inlineStr">
        <is>
          <t>F2_Substantiation_1to3</t>
        </is>
      </c>
      <c r="D1" s="1" t="inlineStr">
        <is>
          <t>F3_Label_Basis_1to3</t>
        </is>
      </c>
      <c r="E1" s="1" t="inlineStr">
        <is>
          <t>F4_Scope_1to3</t>
        </is>
      </c>
      <c r="F1" s="1" t="inlineStr">
        <is>
          <t>F5_Offset_1to3</t>
        </is>
      </c>
      <c r="G1" s="1" t="inlineStr">
        <is>
          <t>Total_Score</t>
        </is>
      </c>
      <c r="H1" s="1" t="inlineStr">
        <is>
          <t>Action_Required</t>
        </is>
      </c>
    </row>
    <row r="2">
      <c r="A2" t="inlineStr">
        <is>
          <t>CLM-001</t>
        </is>
      </c>
      <c r="B2" t="inlineStr">
        <is>
          <t>3</t>
        </is>
      </c>
      <c r="C2" t="inlineStr">
        <is>
          <t>3</t>
        </is>
      </c>
      <c r="D2" t="inlineStr">
        <is>
          <t>2</t>
        </is>
      </c>
      <c r="E2" t="inlineStr">
        <is>
          <t>2</t>
        </is>
      </c>
      <c r="F2" t="inlineStr">
        <is>
          <t>1</t>
        </is>
      </c>
      <c r="G2" t="inlineStr">
        <is>
          <t>11</t>
        </is>
      </c>
      <c r="H2" t="inlineStr">
        <is>
          <t>Review - near threshold</t>
        </is>
      </c>
      <c r="I2">
        <f>SUM(B2:F2)</f>
        <v/>
      </c>
    </row>
    <row r="3">
      <c r="A3" t="inlineStr">
        <is>
          <t>CLM-002</t>
        </is>
      </c>
      <c r="B3" t="inlineStr">
        <is>
          <t>2</t>
        </is>
      </c>
      <c r="C3" t="inlineStr">
        <is>
          <t>2</t>
        </is>
      </c>
      <c r="D3" t="inlineStr">
        <is>
          <t>2</t>
        </is>
      </c>
      <c r="E3" t="inlineStr">
        <is>
          <t>3</t>
        </is>
      </c>
      <c r="F3" t="inlineStr">
        <is>
          <t>1</t>
        </is>
      </c>
      <c r="G3" t="inlineStr">
        <is>
          <t>10</t>
        </is>
      </c>
      <c r="H3">
        <f>IF(G3&gt;=12,"Action required","Monitor")</f>
        <v/>
      </c>
    </row>
    <row r="4">
      <c r="I4">
        <f>COUNTIF(H2:H1000,"Action required*")</f>
        <v/>
      </c>
    </row>
    <row r="6">
      <c r="A6" t="inlineStr">
        <is>
          <t>Notes: Totals of 12 or above require action before further publication. Calibrate thresholds with counsel.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Claim_ID</t>
        </is>
      </c>
      <c r="B1" s="1" t="inlineStr">
        <is>
          <t>Decision</t>
        </is>
      </c>
      <c r="C1" s="1" t="inlineStr">
        <is>
          <t>New_Wording</t>
        </is>
      </c>
      <c r="D1" s="1" t="inlineStr">
        <is>
          <t>Evidence_Added</t>
        </is>
      </c>
      <c r="E1" s="1" t="inlineStr">
        <is>
          <t>Owner_Function</t>
        </is>
      </c>
      <c r="F1" s="1" t="inlineStr">
        <is>
          <t>Due_Date</t>
        </is>
      </c>
      <c r="G1" s="1" t="inlineStr">
        <is>
          <t>Verified_Date</t>
        </is>
      </c>
      <c r="H1" s="1" t="inlineStr">
        <is>
          <t>Instances_Updated</t>
        </is>
      </c>
    </row>
    <row r="2">
      <c r="A2" t="inlineStr">
        <is>
          <t>CLM-001</t>
        </is>
      </c>
      <c r="B2" t="inlineStr">
        <is>
          <t>Reword</t>
        </is>
      </c>
      <c r="C2" t="inlineStr">
        <is>
          <t>Illustrative specific recycled-content sentence with percentage and scope</t>
        </is>
      </c>
      <c r="D2" t="inlineStr">
        <is>
          <t>New test report TR-2026-18</t>
        </is>
      </c>
      <c r="E2" t="inlineStr">
        <is>
          <t>Marketing</t>
        </is>
      </c>
      <c r="F2" t="inlineStr">
        <is>
          <t>2026-10-20</t>
        </is>
      </c>
      <c r="G2" t="inlineStr">
        <is>
          <t>2026-10-22</t>
        </is>
      </c>
      <c r="H2" t="inlineStr">
        <is>
          <t>4 of 6 instances</t>
        </is>
      </c>
      <c r="J2">
        <f>COUNTA(A2:A1000)</f>
        <v/>
      </c>
    </row>
    <row r="3">
      <c r="A3" t="inlineStr">
        <is>
          <t>CLM-003</t>
        </is>
      </c>
      <c r="B3" t="inlineStr">
        <is>
          <t>Remove</t>
        </is>
      </c>
      <c r="C3" t="inlineStr">
        <is>
          <t>Claim removed from all instances</t>
        </is>
      </c>
      <c r="D3" t="inlineStr">
        <is>
          <t>Not applicable</t>
        </is>
      </c>
      <c r="E3" t="inlineStr">
        <is>
          <t>E-commerce</t>
        </is>
      </c>
      <c r="F3" t="inlineStr">
        <is>
          <t>2026-10-18</t>
        </is>
      </c>
      <c r="G3" t="inlineStr">
        <is>
          <t>2026-10-19</t>
        </is>
      </c>
      <c r="H3" t="inlineStr">
        <is>
          <t>3 of 3 instances</t>
        </is>
      </c>
      <c r="J3">
        <f>COUNTIF(B2:B1000,"Remove")</f>
        <v/>
      </c>
    </row>
    <row r="4">
      <c r="J4">
        <f>COUNTBLANK(G2:G1000)</f>
        <v/>
      </c>
    </row>
    <row r="6">
      <c r="A6" t="inlineStr">
        <is>
          <t>Notes: Track every instance separately. Re-check live channels before closing.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Claim_ID</t>
        </is>
      </c>
      <c r="B1" s="1" t="inlineStr">
        <is>
          <t>Channel</t>
        </is>
      </c>
      <c r="C1" s="1" t="inlineStr">
        <is>
          <t>Score</t>
        </is>
      </c>
      <c r="D1" s="1" t="inlineStr">
        <is>
          <t>Evidence_Refs</t>
        </is>
      </c>
      <c r="E1" s="1" t="inlineStr">
        <is>
          <t>Decision</t>
        </is>
      </c>
      <c r="F1" s="1" t="inlineStr">
        <is>
          <t>Reviewer_Function</t>
        </is>
      </c>
      <c r="G1" s="1" t="inlineStr">
        <is>
          <t>Counsel_Verify_Date</t>
        </is>
      </c>
      <c r="H1" s="1" t="inlineStr">
        <is>
          <t>Publish_Date</t>
        </is>
      </c>
      <c r="I1" s="1" t="inlineStr">
        <is>
          <t>Next_Review_Date</t>
        </is>
      </c>
    </row>
    <row r="2">
      <c r="A2" t="inlineStr">
        <is>
          <t>CLM-002</t>
        </is>
      </c>
      <c r="B2" t="inlineStr">
        <is>
          <t>Packaging</t>
        </is>
      </c>
      <c r="C2" t="inlineStr">
        <is>
          <t>10</t>
        </is>
      </c>
      <c r="D2" t="inlineStr">
        <is>
          <t>cert_cap_2026.pdf</t>
        </is>
      </c>
      <c r="E2" t="inlineStr">
        <is>
          <t>Reword</t>
        </is>
      </c>
      <c r="F2" t="inlineStr">
        <is>
          <t>Sustainability lead</t>
        </is>
      </c>
      <c r="G2" t="inlineStr">
        <is>
          <t>2026-10-25</t>
        </is>
      </c>
      <c r="H2" t="inlineStr">
        <is>
          <t>2026-10-28</t>
        </is>
      </c>
      <c r="I2" t="inlineStr">
        <is>
          <t>2027-01-28</t>
        </is>
      </c>
      <c r="K2">
        <f>COUNTA(A2:A1000)</f>
        <v/>
      </c>
    </row>
    <row r="3">
      <c r="A3" t="inlineStr">
        <is>
          <t>CLM-003</t>
        </is>
      </c>
      <c r="B3" t="inlineStr">
        <is>
          <t>Paid social</t>
        </is>
      </c>
      <c r="C3" t="inlineStr">
        <is>
          <t>14</t>
        </is>
      </c>
      <c r="D3" t="inlineStr">
        <is>
          <t>Missing - removed</t>
        </is>
      </c>
      <c r="E3" t="inlineStr">
        <is>
          <t>Remove</t>
        </is>
      </c>
      <c r="F3" t="inlineStr">
        <is>
          <t>Legal reviewer</t>
        </is>
      </c>
      <c r="G3" t="inlineStr">
        <is>
          <t>2026-10-24</t>
        </is>
      </c>
      <c r="H3" t="inlineStr">
        <is>
          <t>2026-10-25</t>
        </is>
      </c>
      <c r="I3" t="inlineStr">
        <is>
          <t>2027-01-25</t>
        </is>
      </c>
      <c r="K3">
        <f>COUNTIF(E2:E1000,"Retain")</f>
        <v/>
      </c>
    </row>
    <row r="4">
      <c r="K4">
        <f>COUNTBLANK(G2:G1000)</f>
        <v/>
      </c>
    </row>
    <row r="6">
      <c r="A6" t="inlineStr">
        <is>
          <t>Notes: File before-and-after captures with each row. No new claim goes live without a signed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2026-09-28T17:06:44Z</dcterms:created>
  <dcterms:modified xmlns:dcterms="http://purl.org/dc/terms/" xmlns:xsi="http://www.w3.org/2001/XMLSchema-instance" xsi:type="dcterms:W3CDTF">2026-09-28T17:06:44Z</dcterms:modified>
</cp:coreProperties>
</file>