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ventory Count" sheetId="1" state="visible" r:id="rId1"/>
    <sheet xmlns:r="http://schemas.openxmlformats.org/officeDocument/2006/relationships" name="Recipe Coster" sheetId="2" state="visible" r:id="rId2"/>
    <sheet xmlns:r="http://schemas.openxmlformats.org/officeDocument/2006/relationships" name="Variance Dashboard" sheetId="3" state="visible" r:id="rId3"/>
    <sheet xmlns:r="http://schemas.openxmlformats.org/officeDocument/2006/relationships" name="Waste Log" sheetId="4" state="visible" r:id="rId4"/>
    <sheet xmlns:r="http://schemas.openxmlformats.org/officeDocument/2006/relationships" name="Par Reorder"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2"/>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1" t="inlineStr">
        <is>
          <t>Location</t>
        </is>
      </c>
      <c r="B1" s="1" t="inlineStr">
        <is>
          <t>Item Name</t>
        </is>
      </c>
      <c r="C1" s="1" t="inlineStr">
        <is>
          <t>Unit</t>
        </is>
      </c>
      <c r="D1" s="1" t="inlineStr">
        <is>
          <t>Unit Cost</t>
        </is>
      </c>
      <c r="E1" s="1" t="inlineStr">
        <is>
          <t>Count Qty</t>
        </is>
      </c>
      <c r="F1" s="1" t="inlineStr">
        <is>
          <t>Extension</t>
        </is>
      </c>
    </row>
    <row r="2">
      <c r="A2" t="inlineStr">
        <is>
          <t>Dry Storage</t>
        </is>
      </c>
      <c r="B2" t="inlineStr">
        <is>
          <t>All Purpose Flour 50lb</t>
        </is>
      </c>
      <c r="C2" t="inlineStr">
        <is>
          <t>lb</t>
        </is>
      </c>
      <c r="D2" t="n">
        <v>0.62</v>
      </c>
      <c r="E2" t="n">
        <v>34</v>
      </c>
      <c r="F2">
        <f>D2*E2</f>
        <v/>
      </c>
    </row>
    <row r="3">
      <c r="A3" t="inlineStr">
        <is>
          <t>Walk In</t>
        </is>
      </c>
      <c r="B3" t="inlineStr">
        <is>
          <t>Whole Chicken</t>
        </is>
      </c>
      <c r="C3" t="inlineStr">
        <is>
          <t>lb</t>
        </is>
      </c>
      <c r="D3" t="n">
        <v>1.85</v>
      </c>
      <c r="E3" t="n">
        <v>42</v>
      </c>
      <c r="F3" t="n">
        <v>77.7</v>
      </c>
    </row>
    <row r="4">
      <c r="A4" t="inlineStr">
        <is>
          <t>Freezer</t>
        </is>
      </c>
      <c r="B4" t="inlineStr">
        <is>
          <t>French Fries 30lb case</t>
        </is>
      </c>
      <c r="C4" t="inlineStr">
        <is>
          <t>case</t>
        </is>
      </c>
      <c r="D4" t="n">
        <v>28.5</v>
      </c>
      <c r="E4" t="n">
        <v>6</v>
      </c>
      <c r="F4" t="n">
        <v>171</v>
      </c>
    </row>
    <row r="100">
      <c r="F100">
        <f>SUM(F2:F99)</f>
        <v/>
      </c>
    </row>
    <row r="102">
      <c r="A102" t="inlineStr">
        <is>
          <t>Notes: Count every item in the same locations each week. Extension equals Unit Cost times Count Qty. The total row gives closing or opening inventory value for the usage formula.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2"/>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1" t="inlineStr">
        <is>
          <t>Recipe</t>
        </is>
      </c>
      <c r="B1" s="1" t="inlineStr">
        <is>
          <t>Ingredient</t>
        </is>
      </c>
      <c r="C1" s="1" t="inlineStr">
        <is>
          <t>Qty</t>
        </is>
      </c>
      <c r="D1" s="1" t="inlineStr">
        <is>
          <t>Unit</t>
        </is>
      </c>
      <c r="E1" s="1" t="inlineStr">
        <is>
          <t>Unit Cost</t>
        </is>
      </c>
      <c r="F1" s="1" t="inlineStr">
        <is>
          <t>Line Cost</t>
        </is>
      </c>
    </row>
    <row r="2">
      <c r="A2" t="inlineStr">
        <is>
          <t>Chicken Sandwich</t>
        </is>
      </c>
      <c r="B2" t="inlineStr">
        <is>
          <t>Chicken Breast 6oz</t>
        </is>
      </c>
      <c r="C2" t="n">
        <v>0.375</v>
      </c>
      <c r="D2" t="inlineStr">
        <is>
          <t>lb</t>
        </is>
      </c>
      <c r="E2" t="n">
        <v>2.4</v>
      </c>
      <c r="F2">
        <f>C2*E2</f>
        <v/>
      </c>
    </row>
    <row r="3">
      <c r="A3" t="inlineStr">
        <is>
          <t>Chicken Sandwich</t>
        </is>
      </c>
      <c r="B3" t="inlineStr">
        <is>
          <t>Brioche Bun</t>
        </is>
      </c>
      <c r="C3" t="n">
        <v>1</v>
      </c>
      <c r="D3" t="inlineStr">
        <is>
          <t>each</t>
        </is>
      </c>
      <c r="E3" t="n">
        <v>0.55</v>
      </c>
      <c r="F3" t="n">
        <v>0.55</v>
      </c>
    </row>
    <row r="4">
      <c r="A4" t="inlineStr">
        <is>
          <t>Chicken Sandwich</t>
        </is>
      </c>
      <c r="B4" t="inlineStr">
        <is>
          <t>Lettuce Tomato</t>
        </is>
      </c>
      <c r="C4" t="n">
        <v>1</v>
      </c>
      <c r="D4" t="inlineStr">
        <is>
          <t>portion</t>
        </is>
      </c>
      <c r="E4" t="n">
        <v>0.32</v>
      </c>
      <c r="F4" t="n">
        <v>0.32</v>
      </c>
    </row>
    <row r="20">
      <c r="F20">
        <f>SUM(F2:F19)</f>
        <v/>
      </c>
      <c r="G20">
        <f>F20/B20</f>
        <v/>
      </c>
    </row>
    <row r="22">
      <c r="A22" t="inlineStr">
        <is>
          <t>Notes: One block of rows per recipe. Line Cost equals Qty times Unit Cost. Batch total is the sum of lines. Plate cost equals batch total divided by portions in cell B20. Illustrative numbers only.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s>
  <sheetData>
    <row r="1">
      <c r="A1" s="1" t="inlineStr">
        <is>
          <t>Week Ending</t>
        </is>
      </c>
      <c r="B1" s="1" t="inlineStr">
        <is>
          <t>Opening Inv</t>
        </is>
      </c>
      <c r="C1" s="1" t="inlineStr">
        <is>
          <t>Purchases</t>
        </is>
      </c>
      <c r="D1" s="1" t="inlineStr">
        <is>
          <t>Closing Inv</t>
        </is>
      </c>
      <c r="E1" s="1" t="inlineStr">
        <is>
          <t>Food Sales</t>
        </is>
      </c>
      <c r="F1" s="1" t="inlineStr">
        <is>
          <t>Actual Usage</t>
        </is>
      </c>
      <c r="G1" s="1" t="inlineStr">
        <is>
          <t>Actual FC Pct</t>
        </is>
      </c>
      <c r="H1" s="1" t="inlineStr">
        <is>
          <t>Theoretical FC Pct</t>
        </is>
      </c>
      <c r="I1" s="1" t="inlineStr">
        <is>
          <t>Variance Pts</t>
        </is>
      </c>
    </row>
    <row r="2">
      <c r="A2" t="inlineStr">
        <is>
          <t>2026-01-11</t>
        </is>
      </c>
      <c r="B2" t="n">
        <v>4200</v>
      </c>
      <c r="C2" t="n">
        <v>6800</v>
      </c>
      <c r="D2" t="n">
        <v>3900</v>
      </c>
      <c r="E2" t="n">
        <v>20000</v>
      </c>
      <c r="F2">
        <f>B2+C2-D2</f>
        <v/>
      </c>
      <c r="G2">
        <f>F2/E2</f>
        <v/>
      </c>
      <c r="H2" t="n">
        <v>32</v>
      </c>
      <c r="I2">
        <f>G2-H2</f>
        <v/>
      </c>
    </row>
    <row r="3">
      <c r="A3" t="inlineStr">
        <is>
          <t>2026-01-18</t>
        </is>
      </c>
      <c r="B3" t="n">
        <v>3900</v>
      </c>
      <c r="C3" t="n">
        <v>7100</v>
      </c>
      <c r="D3" t="n">
        <v>4100</v>
      </c>
      <c r="E3" t="n">
        <v>21000</v>
      </c>
      <c r="F3" t="n">
        <v>6900</v>
      </c>
      <c r="G3" t="n">
        <v>32.86</v>
      </c>
      <c r="H3" t="n">
        <v>31.5</v>
      </c>
      <c r="I3" t="n">
        <v>1.36</v>
      </c>
    </row>
    <row r="5">
      <c r="A5" t="inlineStr">
        <is>
          <t>Notes: Actual Usage equals Opening plus Purchases minus Closing. Actual FC Pct equals Usage divided by Food Sales. Variance Points equals Actual minus Theoretical. Format G and H as percent. Illustrative numbers only.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2"/>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1" t="inlineStr">
        <is>
          <t>Date</t>
        </is>
      </c>
      <c r="B1" s="1" t="inlineStr">
        <is>
          <t>Item</t>
        </is>
      </c>
      <c r="C1" s="1" t="inlineStr">
        <is>
          <t>Qty</t>
        </is>
      </c>
      <c r="D1" s="1" t="inlineStr">
        <is>
          <t>Unit Cost</t>
        </is>
      </c>
      <c r="E1" s="1" t="inlineStr">
        <is>
          <t>Waste Cost</t>
        </is>
      </c>
      <c r="F1" s="1" t="inlineStr">
        <is>
          <t>Reason</t>
        </is>
      </c>
    </row>
    <row r="2">
      <c r="A2" t="inlineStr">
        <is>
          <t>2026-01-06</t>
        </is>
      </c>
      <c r="B2" t="inlineStr">
        <is>
          <t>Diced Tomatoes</t>
        </is>
      </c>
      <c r="C2" t="n">
        <v>4</v>
      </c>
      <c r="D2" t="n">
        <v>0.45</v>
      </c>
      <c r="E2">
        <f>C2*D2</f>
        <v/>
      </c>
      <c r="F2" t="inlineStr">
        <is>
          <t>Spoilage</t>
        </is>
      </c>
    </row>
    <row r="3">
      <c r="A3" t="inlineStr">
        <is>
          <t>2026-01-06</t>
        </is>
      </c>
      <c r="B3" t="inlineStr">
        <is>
          <t>Chicken Breast</t>
        </is>
      </c>
      <c r="C3" t="n">
        <v>3</v>
      </c>
      <c r="D3" t="n">
        <v>2.4</v>
      </c>
      <c r="E3" t="n">
        <v>7.2</v>
      </c>
      <c r="F3" t="inlineStr">
        <is>
          <t>Overcook</t>
        </is>
      </c>
    </row>
    <row r="4">
      <c r="A4" t="inlineStr">
        <is>
          <t>2026-01-07</t>
        </is>
      </c>
      <c r="B4" t="inlineStr">
        <is>
          <t>Buns</t>
        </is>
      </c>
      <c r="C4" t="n">
        <v>12</v>
      </c>
      <c r="D4" t="n">
        <v>0.55</v>
      </c>
      <c r="E4" t="n">
        <v>6.6</v>
      </c>
      <c r="F4" t="inlineStr">
        <is>
          <t>Stale</t>
        </is>
      </c>
    </row>
    <row r="50">
      <c r="E50">
        <f>SUM(E2:E49)</f>
        <v/>
      </c>
    </row>
    <row r="52">
      <c r="A52" t="inlineStr">
        <is>
          <t>Notes: Log every waste event for two full weeks. Waste Cost equals Qty times Unit Cost. The total feeds the weekly review.</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1" t="inlineStr">
        <is>
          <t>Item</t>
        </is>
      </c>
      <c r="B1" s="1" t="inlineStr">
        <is>
          <t>Unit</t>
        </is>
      </c>
      <c r="C1" s="1" t="inlineStr">
        <is>
          <t>Avg Daily Use</t>
        </is>
      </c>
      <c r="D1" s="1" t="inlineStr">
        <is>
          <t>Lead Days</t>
        </is>
      </c>
      <c r="E1" s="1" t="inlineStr">
        <is>
          <t>Par Level</t>
        </is>
      </c>
      <c r="F1" s="1" t="inlineStr">
        <is>
          <t>On Hand</t>
        </is>
      </c>
      <c r="G1" s="1" t="inlineStr">
        <is>
          <t>Order Qty</t>
        </is>
      </c>
    </row>
    <row r="2">
      <c r="A2" t="inlineStr">
        <is>
          <t>Chicken Breast</t>
        </is>
      </c>
      <c r="B2" t="inlineStr">
        <is>
          <t>lb</t>
        </is>
      </c>
      <c r="C2" t="n">
        <v>18</v>
      </c>
      <c r="D2" t="n">
        <v>2</v>
      </c>
      <c r="E2">
        <f>C2*(D2+1)</f>
        <v/>
      </c>
      <c r="F2" t="n">
        <v>30</v>
      </c>
      <c r="G2">
        <f>MAX(0,E2-F2)</f>
        <v/>
      </c>
    </row>
    <row r="3">
      <c r="A3" t="inlineStr">
        <is>
          <t>Buns</t>
        </is>
      </c>
      <c r="B3" t="inlineStr">
        <is>
          <t>each</t>
        </is>
      </c>
      <c r="C3" t="n">
        <v>60</v>
      </c>
      <c r="D3" t="n">
        <v>1</v>
      </c>
      <c r="E3" t="n">
        <v>90</v>
      </c>
      <c r="F3" t="n">
        <v>40</v>
      </c>
      <c r="G3" t="n">
        <v>50</v>
      </c>
    </row>
    <row r="4">
      <c r="A4" t="inlineStr">
        <is>
          <t>Fries case</t>
        </is>
      </c>
      <c r="B4" t="inlineStr">
        <is>
          <t>case</t>
        </is>
      </c>
      <c r="C4" t="n">
        <v>2</v>
      </c>
      <c r="D4" t="n">
        <v>3</v>
      </c>
      <c r="E4" t="n">
        <v>9</v>
      </c>
      <c r="F4" t="n">
        <v>4</v>
      </c>
      <c r="G4" t="n">
        <v>5</v>
      </c>
    </row>
    <row r="6">
      <c r="A6" t="inlineStr">
        <is>
          <t>Notes: Par Level equals Avg Daily Use times Lead Days plus one safety day. Order Qty equals Par minus On Hand, floored at zero. Illustrative numbers only.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2026-09-28T17:06:45Z</dcterms:created>
  <dcterms:modified xmlns:dcterms="http://purl.org/dc/terms/" xmlns:xsi="http://www.w3.org/2001/XMLSchema-instance" xsi:type="dcterms:W3CDTF">2026-09-28T17:06:45Z</dcterms:modified>
</cp:coreProperties>
</file>