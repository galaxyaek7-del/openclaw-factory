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Tracker" sheetId="1" state="visible" r:id="rId1"/>
    <sheet xmlns:r="http://schemas.openxmlformats.org/officeDocument/2006/relationships" name="Contingency_Log" sheetId="2" state="visible" r:id="rId2"/>
    <sheet xmlns:r="http://schemas.openxmlformats.org/officeDocument/2006/relationships" name="Document_Checklist" sheetId="3" state="visible" r:id="rId3"/>
    <sheet xmlns:r="http://schemas.openxmlformats.org/officeDocument/2006/relationships" name="Post_Close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Deal ID</t>
        </is>
      </c>
      <c r="B1" s="1" t="inlineStr">
        <is>
          <t>Property Address</t>
        </is>
      </c>
      <c r="C1" s="1" t="inlineStr">
        <is>
          <t>Side</t>
        </is>
      </c>
      <c r="D1" s="1" t="inlineStr">
        <is>
          <t>Contract Date</t>
        </is>
      </c>
      <c r="E1" s="1" t="inlineStr">
        <is>
          <t>Close Date</t>
        </is>
      </c>
      <c r="F1" s="1" t="inlineStr">
        <is>
          <t>Days To Close</t>
        </is>
      </c>
      <c r="G1" s="1" t="inlineStr">
        <is>
          <t>Status</t>
        </is>
      </c>
      <c r="H1" s="1" t="inlineStr">
        <is>
          <t>Next Deadline</t>
        </is>
      </c>
      <c r="I1" s="1" t="inlineStr">
        <is>
          <t>Next Deadline Date</t>
        </is>
      </c>
      <c r="J1" s="1" t="inlineStr">
        <is>
          <t>Priority</t>
        </is>
      </c>
    </row>
    <row r="2">
      <c r="A2" t="inlineStr">
        <is>
          <t>D-01</t>
        </is>
      </c>
      <c r="B2" t="inlineStr">
        <is>
          <t>1204 Maple Ave, Springfield</t>
        </is>
      </c>
      <c r="C2" t="inlineStr">
        <is>
          <t>Buyer</t>
        </is>
      </c>
      <c r="D2" t="inlineStr">
        <is>
          <t>2026-09-02</t>
        </is>
      </c>
      <c r="E2" t="inlineStr">
        <is>
          <t>2026-10-17</t>
        </is>
      </c>
      <c r="F2">
        <f>E2-D2</f>
        <v/>
      </c>
      <c r="G2" t="inlineStr">
        <is>
          <t>Active</t>
        </is>
      </c>
      <c r="H2" t="inlineStr">
        <is>
          <t>Inspection objection</t>
        </is>
      </c>
      <c r="I2" t="inlineStr">
        <is>
          <t>2026-09-12</t>
        </is>
      </c>
      <c r="J2" t="inlineStr">
        <is>
          <t>High</t>
        </is>
      </c>
    </row>
    <row r="3">
      <c r="A3" t="inlineStr">
        <is>
          <t>D-02</t>
        </is>
      </c>
      <c r="B3" t="inlineStr">
        <is>
          <t>88 River Rd, Springfield</t>
        </is>
      </c>
      <c r="C3" t="inlineStr">
        <is>
          <t>Seller</t>
        </is>
      </c>
      <c r="D3" t="inlineStr">
        <is>
          <t>2026-08-28</t>
        </is>
      </c>
      <c r="E3" t="inlineStr">
        <is>
          <t>2026-10-02</t>
        </is>
      </c>
      <c r="F3" t="n">
        <v>35</v>
      </c>
      <c r="G3" t="inlineStr">
        <is>
          <t>Pending Docs</t>
        </is>
      </c>
      <c r="H3" t="inlineStr">
        <is>
          <t>Appraisal review</t>
        </is>
      </c>
      <c r="I3" t="inlineStr">
        <is>
          <t>2026-09-18</t>
        </is>
      </c>
      <c r="J3" t="inlineStr">
        <is>
          <t>Normal</t>
        </is>
      </c>
    </row>
    <row r="4">
      <c r="A4" t="inlineStr">
        <is>
          <t>D-03</t>
        </is>
      </c>
      <c r="B4" t="inlineStr">
        <is>
          <t>15 Hillcrest Ln, Springfield</t>
        </is>
      </c>
      <c r="C4" t="inlineStr">
        <is>
          <t>Buyer</t>
        </is>
      </c>
      <c r="D4" t="inlineStr">
        <is>
          <t>2026-09-05</t>
        </is>
      </c>
      <c r="E4" t="inlineStr">
        <is>
          <t>2026-11-04</t>
        </is>
      </c>
      <c r="F4">
        <f>E4-D4</f>
        <v/>
      </c>
      <c r="G4" t="inlineStr">
        <is>
          <t>Active</t>
        </is>
      </c>
      <c r="H4" t="inlineStr">
        <is>
          <t>Loan commitment</t>
        </is>
      </c>
      <c r="I4" t="inlineStr">
        <is>
          <t>2026-10-10</t>
        </is>
      </c>
      <c r="J4" t="inlineStr">
        <is>
          <t>Normal</t>
        </is>
      </c>
    </row>
    <row r="8">
      <c r="A8">
        <f>COUNTA(A2:A20)</f>
        <v/>
      </c>
    </row>
    <row r="10">
      <c r="A10" t="inlineStr">
        <is>
          <t>Notes: F2 and F4 compute days to close as close date minus contract date. Copy the F-column formula down for each new row. A8 counts deals entered. Use controlled Status words only: Active, Pending Docs, Clear to Close, Closed, On Hold. Sample rows are illustrative. Replace them with your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Deal ID</t>
        </is>
      </c>
      <c r="B1" s="1" t="inlineStr">
        <is>
          <t>Contingency Type</t>
        </is>
      </c>
      <c r="C1" s="1" t="inlineStr">
        <is>
          <t>Deadline Date</t>
        </is>
      </c>
      <c r="D1" s="1" t="inlineStr">
        <is>
          <t>Days Remaining</t>
        </is>
      </c>
      <c r="E1" s="1" t="inlineStr">
        <is>
          <t>Status</t>
        </is>
      </c>
      <c r="F1" s="1" t="inlineStr">
        <is>
          <t>Date Satisfied</t>
        </is>
      </c>
      <c r="G1" s="1" t="inlineStr">
        <is>
          <t>Notes</t>
        </is>
      </c>
    </row>
    <row r="2">
      <c r="A2" t="inlineStr">
        <is>
          <t>D-01</t>
        </is>
      </c>
      <c r="B2" t="inlineStr">
        <is>
          <t>Inspection</t>
        </is>
      </c>
      <c r="C2" t="inlineStr">
        <is>
          <t>2026-09-12</t>
        </is>
      </c>
      <c r="D2">
        <f>C2-TODAY()</f>
        <v/>
      </c>
      <c r="E2">
        <f>IF(F2&lt;&gt;"","SATISFIED",IF(C2&lt;TODAY(),"OVERDUE",IF(C2&lt;=TODAY()+7,"DUE SOON","ON TRACK")))</f>
        <v/>
      </c>
      <c r="F2" t="inlineStr"/>
      <c r="G2" t="inlineStr">
        <is>
          <t>Sample row. Illustrative dates.</t>
        </is>
      </c>
    </row>
    <row r="3">
      <c r="A3" t="inlineStr">
        <is>
          <t>D-01</t>
        </is>
      </c>
      <c r="B3" t="inlineStr">
        <is>
          <t>Appraisal</t>
        </is>
      </c>
      <c r="C3" t="inlineStr">
        <is>
          <t>2026-09-26</t>
        </is>
      </c>
      <c r="D3" t="n">
        <v>-2</v>
      </c>
      <c r="E3" t="inlineStr">
        <is>
          <t>DUE SOON</t>
        </is>
      </c>
      <c r="F3" t="inlineStr"/>
      <c r="G3" t="inlineStr">
        <is>
          <t>Sample row. Illustrative dates.</t>
        </is>
      </c>
    </row>
    <row r="4">
      <c r="A4" t="inlineStr">
        <is>
          <t>D-02</t>
        </is>
      </c>
      <c r="B4" t="inlineStr">
        <is>
          <t>Loan</t>
        </is>
      </c>
      <c r="C4" t="inlineStr">
        <is>
          <t>2026-09-30</t>
        </is>
      </c>
      <c r="D4">
        <f>C4-TODAY()</f>
        <v/>
      </c>
      <c r="E4" t="inlineStr">
        <is>
          <t>ON TRACK</t>
        </is>
      </c>
      <c r="F4" t="inlineStr"/>
      <c r="G4" t="inlineStr">
        <is>
          <t>Sample row. Illustrative dates.</t>
        </is>
      </c>
    </row>
    <row r="6">
      <c r="A6" t="inlineStr">
        <is>
          <t>Notes: D2 computes days remaining as deadline minus today and refreshes on open. E2 flags SATISFIED, OVERDUE, DUE SOON within 7 days, or ON TRACK. Copy D and E formulas down for each new row. Apply your state day-counting rules before entering each deadline. Sample rows are illustrative.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Deal ID</t>
        </is>
      </c>
      <c r="B1" s="1" t="inlineStr">
        <is>
          <t>Document</t>
        </is>
      </c>
      <c r="C1" s="1" t="inlineStr">
        <is>
          <t>Required</t>
        </is>
      </c>
      <c r="D1" s="1" t="inlineStr">
        <is>
          <t>Received</t>
        </is>
      </c>
      <c r="E1" s="1" t="inlineStr">
        <is>
          <t>Date Received</t>
        </is>
      </c>
      <c r="F1" s="1" t="inlineStr">
        <is>
          <t>Status</t>
        </is>
      </c>
    </row>
    <row r="2">
      <c r="A2" t="inlineStr">
        <is>
          <t>D-01</t>
        </is>
      </c>
      <c r="B2" t="inlineStr">
        <is>
          <t>Signed contract with addenda</t>
        </is>
      </c>
      <c r="C2" t="inlineStr">
        <is>
          <t>Yes</t>
        </is>
      </c>
      <c r="D2" t="inlineStr">
        <is>
          <t>Yes</t>
        </is>
      </c>
      <c r="E2" t="inlineStr">
        <is>
          <t>2026-09-02</t>
        </is>
      </c>
      <c r="F2">
        <f>IF(AND(C2="Yes",D2="No"),"MISSING","OK")</f>
        <v/>
      </c>
    </row>
    <row r="3">
      <c r="A3" t="inlineStr">
        <is>
          <t>D-01</t>
        </is>
      </c>
      <c r="B3" t="inlineStr">
        <is>
          <t>Inspection report</t>
        </is>
      </c>
      <c r="C3" t="inlineStr">
        <is>
          <t>Yes</t>
        </is>
      </c>
      <c r="D3" t="inlineStr">
        <is>
          <t>No</t>
        </is>
      </c>
      <c r="E3" t="inlineStr"/>
      <c r="F3">
        <f>IF(AND(C3="Yes",D3="No"),"MISSING","OK")</f>
        <v/>
      </c>
    </row>
    <row r="4">
      <c r="A4" t="inlineStr">
        <is>
          <t>D-02</t>
        </is>
      </c>
      <c r="B4" t="inlineStr">
        <is>
          <t>Pre-approval letter</t>
        </is>
      </c>
      <c r="C4" t="inlineStr">
        <is>
          <t>Yes</t>
        </is>
      </c>
      <c r="D4" t="inlineStr">
        <is>
          <t>Yes</t>
        </is>
      </c>
      <c r="E4" t="inlineStr">
        <is>
          <t>2026-08-28</t>
        </is>
      </c>
      <c r="F4" t="inlineStr">
        <is>
          <t>OK</t>
        </is>
      </c>
    </row>
    <row r="9">
      <c r="A9">
        <f>COUNTIF(F2:F30,"MISSING")</f>
        <v/>
      </c>
    </row>
    <row r="11">
      <c r="A11" t="inlineStr">
        <is>
          <t>Notes: F2 and F3 flag required-but-unreceived documents as MISSING. Copy the F-column formula down for each new row. A9 counts open missing items. Sample rows are illustrative.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Deal ID</t>
        </is>
      </c>
      <c r="B1" s="1" t="inlineStr">
        <is>
          <t>Contract Date</t>
        </is>
      </c>
      <c r="C1" s="1" t="inlineStr">
        <is>
          <t>Close Date</t>
        </is>
      </c>
      <c r="D1" s="1" t="inlineStr">
        <is>
          <t>Days To Close</t>
        </is>
      </c>
      <c r="E1" s="1" t="inlineStr">
        <is>
          <t>What Slipped</t>
        </is>
      </c>
      <c r="F1" s="1" t="inlineStr">
        <is>
          <t>Lesson</t>
        </is>
      </c>
      <c r="G1" s="1" t="inlineStr">
        <is>
          <t>Follow-up Action</t>
        </is>
      </c>
      <c r="H1" s="1" t="inlineStr">
        <is>
          <t>Follow-up Done</t>
        </is>
      </c>
    </row>
    <row r="2">
      <c r="A2" t="inlineStr">
        <is>
          <t>D-00</t>
        </is>
      </c>
      <c r="B2" t="inlineStr">
        <is>
          <t>2026-06-01</t>
        </is>
      </c>
      <c r="C2" t="inlineStr">
        <is>
          <t>2026-07-15</t>
        </is>
      </c>
      <c r="D2">
        <f>C2-B2</f>
        <v/>
      </c>
      <c r="E2" t="inlineStr">
        <is>
          <t>Title ordered late</t>
        </is>
      </c>
      <c r="F2" t="inlineStr">
        <is>
          <t>Order title within 24 hours of acceptance</t>
        </is>
      </c>
      <c r="G2" t="inlineStr">
        <is>
          <t>Checklist rule added</t>
        </is>
      </c>
      <c r="H2" t="inlineStr">
        <is>
          <t>Yes</t>
        </is>
      </c>
    </row>
    <row r="3">
      <c r="A3" t="inlineStr">
        <is>
          <t>D-00</t>
        </is>
      </c>
      <c r="B3" t="inlineStr">
        <is>
          <t>2026-05-10</t>
        </is>
      </c>
      <c r="C3" t="inlineStr">
        <is>
          <t>2026-06-20</t>
        </is>
      </c>
      <c r="D3" t="n">
        <v>41</v>
      </c>
      <c r="E3" t="inlineStr">
        <is>
          <t>Appraisal returned late</t>
        </is>
      </c>
      <c r="F3" t="inlineStr">
        <is>
          <t>Confirm expected return date in writing at order</t>
        </is>
      </c>
      <c r="G3" t="inlineStr">
        <is>
          <t>Lender note filed</t>
        </is>
      </c>
      <c r="H3" t="inlineStr">
        <is>
          <t>Yes</t>
        </is>
      </c>
    </row>
    <row r="4">
      <c r="A4" t="inlineStr">
        <is>
          <t>D-00</t>
        </is>
      </c>
      <c r="B4" t="inlineStr">
        <is>
          <t>2026-04-03</t>
        </is>
      </c>
      <c r="C4" t="inlineStr">
        <is>
          <t>2026-05-12</t>
        </is>
      </c>
      <c r="D4" t="n">
        <v>39</v>
      </c>
      <c r="E4" t="inlineStr">
        <is>
          <t>HOA docs chased last week</t>
        </is>
      </c>
      <c r="F4" t="inlineStr">
        <is>
          <t>Request HOA docs at acceptance</t>
        </is>
      </c>
      <c r="G4" t="inlineStr">
        <is>
          <t>Template updated</t>
        </is>
      </c>
      <c r="H4" t="inlineStr">
        <is>
          <t>No</t>
        </is>
      </c>
    </row>
    <row r="8">
      <c r="A8">
        <f>AVERAGE(D2:D6)</f>
        <v/>
      </c>
    </row>
    <row r="10">
      <c r="A10" t="inlineStr">
        <is>
          <t>Notes: D2 computes actual days to close as close minus contract. Copy down per closed deal. A8 averages sample durations. Complete within three business days of closing. Sample rows are illustrative.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2026-09-28T17:06:47Z</dcterms:created>
  <dcterms:modified xmlns:dcterms="http://purl.org/dc/terms/" xmlns:xsi="http://www.w3.org/2001/XMLSchema-instance" xsi:type="dcterms:W3CDTF">2026-09-28T17:06:47Z</dcterms:modified>
</cp:coreProperties>
</file>