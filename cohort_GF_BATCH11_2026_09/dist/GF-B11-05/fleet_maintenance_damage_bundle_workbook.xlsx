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N_Register" sheetId="1" state="visible" r:id="rId1"/>
    <sheet xmlns:r="http://schemas.openxmlformats.org/officeDocument/2006/relationships" name="Maintenance_Log" sheetId="2" state="visible" r:id="rId2"/>
    <sheet xmlns:r="http://schemas.openxmlformats.org/officeDocument/2006/relationships" name="Inspection_Log" sheetId="3" state="visible" r:id="rId3"/>
    <sheet xmlns:r="http://schemas.openxmlformats.org/officeDocument/2006/relationships" name="Claim_Track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Unit ID</t>
        </is>
      </c>
      <c r="B1" s="1" t="inlineStr">
        <is>
          <t>VIN</t>
        </is>
      </c>
      <c r="C1" s="1" t="inlineStr">
        <is>
          <t>Year</t>
        </is>
      </c>
      <c r="D1" s="1" t="inlineStr">
        <is>
          <t>Make</t>
        </is>
      </c>
      <c r="E1" s="1" t="inlineStr">
        <is>
          <t>Model</t>
        </is>
      </c>
      <c r="F1" s="1" t="inlineStr">
        <is>
          <t>Plate</t>
        </is>
      </c>
      <c r="G1" s="1" t="inlineStr">
        <is>
          <t>Status</t>
        </is>
      </c>
      <c r="H1" s="1" t="inlineStr">
        <is>
          <t>Current Mileage</t>
        </is>
      </c>
      <c r="I1" s="1" t="inlineStr">
        <is>
          <t>Location</t>
        </is>
      </c>
      <c r="J1" s="1" t="inlineStr">
        <is>
          <t>Notes</t>
        </is>
      </c>
    </row>
    <row r="2">
      <c r="A2" t="inlineStr">
        <is>
          <t>U-01</t>
        </is>
      </c>
      <c r="B2" t="inlineStr">
        <is>
          <t>1HGCM82633A004352</t>
        </is>
      </c>
      <c r="C2" t="n">
        <v>2021</v>
      </c>
      <c r="D2" t="inlineStr">
        <is>
          <t>Toyota</t>
        </is>
      </c>
      <c r="E2" t="inlineStr">
        <is>
          <t>Camry</t>
        </is>
      </c>
      <c r="F2" t="inlineStr">
        <is>
          <t>PLT-1042</t>
        </is>
      </c>
      <c r="G2" t="inlineStr">
        <is>
          <t>Active</t>
        </is>
      </c>
      <c r="H2" t="n">
        <v>48250</v>
      </c>
      <c r="I2" t="inlineStr">
        <is>
          <t>Main lot</t>
        </is>
      </c>
      <c r="J2" t="inlineStr">
        <is>
          <t>Sample row. Replace with your data.</t>
        </is>
      </c>
    </row>
    <row r="3">
      <c r="A3" t="inlineStr">
        <is>
          <t>U-02</t>
        </is>
      </c>
      <c r="B3" t="inlineStr">
        <is>
          <t>2FACP8CF0LX159021</t>
        </is>
      </c>
      <c r="C3" t="n">
        <v>2020</v>
      </c>
      <c r="D3" t="inlineStr">
        <is>
          <t>Ford</t>
        </is>
      </c>
      <c r="E3" t="inlineStr">
        <is>
          <t>Transit</t>
        </is>
      </c>
      <c r="F3" t="inlineStr">
        <is>
          <t>PLT-2088</t>
        </is>
      </c>
      <c r="G3" t="inlineStr">
        <is>
          <t>Active</t>
        </is>
      </c>
      <c r="H3" t="n">
        <v>61900</v>
      </c>
      <c r="I3" t="inlineStr">
        <is>
          <t>Main lot</t>
        </is>
      </c>
      <c r="J3" t="inlineStr">
        <is>
          <t>Sample row. Replace with your data.</t>
        </is>
      </c>
    </row>
    <row r="4">
      <c r="A4" t="inlineStr">
        <is>
          <t>U-03</t>
        </is>
      </c>
      <c r="B4" t="inlineStr">
        <is>
          <t>3N1AB7AP4KY623118</t>
        </is>
      </c>
      <c r="C4" t="n">
        <v>2019</v>
      </c>
      <c r="D4" t="inlineStr">
        <is>
          <t>Nissan</t>
        </is>
      </c>
      <c r="E4" t="inlineStr">
        <is>
          <t>NV200</t>
        </is>
      </c>
      <c r="F4" t="inlineStr">
        <is>
          <t>PLT-3175</t>
        </is>
      </c>
      <c r="G4" t="inlineStr">
        <is>
          <t>In Shop</t>
        </is>
      </c>
      <c r="H4" t="n">
        <v>74400</v>
      </c>
      <c r="I4" t="inlineStr">
        <is>
          <t>City garage</t>
        </is>
      </c>
      <c r="J4" t="inlineStr">
        <is>
          <t>Sample row. Replace with your data.</t>
        </is>
      </c>
    </row>
    <row r="8">
      <c r="B8">
        <f>COUNTA(A2:A20)</f>
        <v/>
      </c>
      <c r="H8">
        <f>SUM(H2:H20)</f>
        <v/>
      </c>
    </row>
    <row r="10">
      <c r="A10" t="inlineStr">
        <is>
          <t>Notes: B8 counts units entered. H8 totals fleet mileage. Use controlled Status words only: Active, In Shop, Retired, Seasonal Hold. Sample rows are illustrative. Replace them with your fleet.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Unit ID</t>
        </is>
      </c>
      <c r="B1" s="1" t="inlineStr">
        <is>
          <t>Service Type</t>
        </is>
      </c>
      <c r="C1" s="1" t="inlineStr">
        <is>
          <t>Date Performed</t>
        </is>
      </c>
      <c r="D1" s="1" t="inlineStr">
        <is>
          <t>Mileage At Service</t>
        </is>
      </c>
      <c r="E1" s="1" t="inlineStr">
        <is>
          <t>Interval Miles</t>
        </is>
      </c>
      <c r="F1" s="1" t="inlineStr">
        <is>
          <t>Interval Months</t>
        </is>
      </c>
      <c r="G1" s="1" t="inlineStr">
        <is>
          <t>Next Due Mileage</t>
        </is>
      </c>
      <c r="H1" s="1" t="inlineStr">
        <is>
          <t>Next Due Date</t>
        </is>
      </c>
      <c r="I1" s="1" t="inlineStr">
        <is>
          <t>Status</t>
        </is>
      </c>
      <c r="J1" s="1" t="inlineStr">
        <is>
          <t>Vendor</t>
        </is>
      </c>
      <c r="K1" s="1" t="inlineStr">
        <is>
          <t>Cost</t>
        </is>
      </c>
      <c r="L1" s="1" t="inlineStr">
        <is>
          <t>Receipt Ref</t>
        </is>
      </c>
    </row>
    <row r="2">
      <c r="A2" t="inlineStr">
        <is>
          <t>U-01</t>
        </is>
      </c>
      <c r="B2" t="inlineStr">
        <is>
          <t>Oil and filter</t>
        </is>
      </c>
      <c r="C2" t="inlineStr">
        <is>
          <t>2026-08-02</t>
        </is>
      </c>
      <c r="D2" t="n">
        <v>45250</v>
      </c>
      <c r="E2" t="n">
        <v>5000</v>
      </c>
      <c r="F2" t="n">
        <v>6</v>
      </c>
      <c r="G2">
        <f>D2+E2</f>
        <v/>
      </c>
      <c r="H2">
        <f>EDATE(C2,F2)</f>
        <v/>
      </c>
      <c r="I2">
        <f>IF(OR(H2&lt;TODAY(),G2&lt;=48250),"OVERDUE",IF(OR(H2&lt;TODAY()+30,G2-48250&lt;=500),"DUE SOON","OK"))</f>
        <v/>
      </c>
      <c r="J2" t="inlineStr">
        <is>
          <t>Main St Auto</t>
        </is>
      </c>
      <c r="K2" t="n">
        <v>89</v>
      </c>
      <c r="L2" t="inlineStr">
        <is>
          <t>INV-8811</t>
        </is>
      </c>
    </row>
    <row r="3">
      <c r="A3" t="inlineStr">
        <is>
          <t>U-02</t>
        </is>
      </c>
      <c r="B3" t="inlineStr">
        <is>
          <t>Oil and filter</t>
        </is>
      </c>
      <c r="C3" t="inlineStr">
        <is>
          <t>2026-07-12</t>
        </is>
      </c>
      <c r="D3" t="n">
        <v>58900</v>
      </c>
      <c r="E3" t="n">
        <v>5000</v>
      </c>
      <c r="F3" t="n">
        <v>6</v>
      </c>
      <c r="G3" t="n">
        <v>63900</v>
      </c>
      <c r="H3" t="inlineStr">
        <is>
          <t>2027-01-12</t>
        </is>
      </c>
      <c r="I3" t="inlineStr">
        <is>
          <t>OK</t>
        </is>
      </c>
      <c r="J3" t="inlineStr">
        <is>
          <t>Main St Auto</t>
        </is>
      </c>
      <c r="K3" t="n">
        <v>95</v>
      </c>
      <c r="L3" t="inlineStr">
        <is>
          <t>INV-8702</t>
        </is>
      </c>
    </row>
    <row r="4">
      <c r="A4" t="inlineStr">
        <is>
          <t>U-03</t>
        </is>
      </c>
      <c r="B4" t="inlineStr">
        <is>
          <t>Brake pads front</t>
        </is>
      </c>
      <c r="C4" t="inlineStr">
        <is>
          <t>2026-06-20</t>
        </is>
      </c>
      <c r="D4" t="n">
        <v>71000</v>
      </c>
      <c r="E4" t="n">
        <v>30000</v>
      </c>
      <c r="F4" t="n">
        <v>24</v>
      </c>
      <c r="G4" t="n">
        <v>101000</v>
      </c>
      <c r="H4" t="inlineStr">
        <is>
          <t>2028-06-20</t>
        </is>
      </c>
      <c r="I4" t="inlineStr">
        <is>
          <t>OK</t>
        </is>
      </c>
      <c r="J4" t="inlineStr">
        <is>
          <t>City garage</t>
        </is>
      </c>
      <c r="K4" t="n">
        <v>320</v>
      </c>
      <c r="L4" t="inlineStr">
        <is>
          <t>INV-8519</t>
        </is>
      </c>
    </row>
    <row r="7">
      <c r="K7">
        <f>SUM(K2:K4)</f>
        <v/>
      </c>
    </row>
    <row r="9">
      <c r="A9" t="inlineStr">
        <is>
          <t>Notes: G2 adds interval miles to mileage at service. H2 advances the service date by interval months. I2 flags OVERDUE, DUE SOON, or OK for the first row using the register mileage 48250 as the comparison point. Copy G2, H2, and I2 down for each new row, updating the mileage reference to that row vehicle current mileage. K7 totals sample costs. Sample rows are illustrative.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Inspection ID</t>
        </is>
      </c>
      <c r="B1" s="1" t="inlineStr">
        <is>
          <t>Unit ID</t>
        </is>
      </c>
      <c r="C1" s="1" t="inlineStr">
        <is>
          <t>Type</t>
        </is>
      </c>
      <c r="D1" s="1" t="inlineStr">
        <is>
          <t>Date</t>
        </is>
      </c>
      <c r="E1" s="1" t="inlineStr">
        <is>
          <t>Mileage Out</t>
        </is>
      </c>
      <c r="F1" s="1" t="inlineStr">
        <is>
          <t>Mileage In</t>
        </is>
      </c>
      <c r="G1" s="1" t="inlineStr">
        <is>
          <t>Miles Driven</t>
        </is>
      </c>
      <c r="H1" s="1" t="inlineStr">
        <is>
          <t>Fuel Out</t>
        </is>
      </c>
      <c r="I1" s="1" t="inlineStr">
        <is>
          <t>Fuel In</t>
        </is>
      </c>
      <c r="J1" s="1" t="inlineStr">
        <is>
          <t>Damage Noted</t>
        </is>
      </c>
      <c r="K1" s="1" t="inlineStr">
        <is>
          <t>Photos Filed</t>
        </is>
      </c>
      <c r="L1" s="1" t="inlineStr">
        <is>
          <t>Inspector</t>
        </is>
      </c>
    </row>
    <row r="2">
      <c r="A2" t="inlineStr">
        <is>
          <t>IN-2026-101</t>
        </is>
      </c>
      <c r="B2" t="inlineStr">
        <is>
          <t>U-01</t>
        </is>
      </c>
      <c r="C2" t="inlineStr">
        <is>
          <t>Pre</t>
        </is>
      </c>
      <c r="D2" t="inlineStr">
        <is>
          <t>2026-09-10</t>
        </is>
      </c>
      <c r="E2" t="n">
        <v>48010</v>
      </c>
      <c r="F2" t="inlineStr"/>
      <c r="G2" t="inlineStr"/>
      <c r="H2" t="inlineStr">
        <is>
          <t>Full</t>
        </is>
      </c>
      <c r="I2" t="inlineStr"/>
      <c r="J2" t="inlineStr">
        <is>
          <t>None</t>
        </is>
      </c>
      <c r="K2" t="n">
        <v>12</v>
      </c>
      <c r="L2" t="inlineStr">
        <is>
          <t>R. desk</t>
        </is>
      </c>
    </row>
    <row r="3">
      <c r="A3" t="inlineStr">
        <is>
          <t>IN-2026-102</t>
        </is>
      </c>
      <c r="B3" t="inlineStr">
        <is>
          <t>U-01</t>
        </is>
      </c>
      <c r="C3" t="inlineStr">
        <is>
          <t>Post</t>
        </is>
      </c>
      <c r="D3" t="inlineStr">
        <is>
          <t>2026-09-12</t>
        </is>
      </c>
      <c r="E3" t="n">
        <v>48010</v>
      </c>
      <c r="F3" t="n">
        <v>48250</v>
      </c>
      <c r="G3">
        <f>F3-E3</f>
        <v/>
      </c>
      <c r="H3" t="inlineStr">
        <is>
          <t>Full</t>
        </is>
      </c>
      <c r="I3" t="inlineStr">
        <is>
          <t>3/4</t>
        </is>
      </c>
      <c r="J3" t="inlineStr">
        <is>
          <t>Scuff RR bumper</t>
        </is>
      </c>
      <c r="K3" t="n">
        <v>15</v>
      </c>
      <c r="L3" t="inlineStr">
        <is>
          <t>R. desk</t>
        </is>
      </c>
    </row>
    <row r="4">
      <c r="A4" t="inlineStr">
        <is>
          <t>IN-2026-103</t>
        </is>
      </c>
      <c r="B4" t="inlineStr">
        <is>
          <t>U-02</t>
        </is>
      </c>
      <c r="C4" t="inlineStr">
        <is>
          <t>Pre</t>
        </is>
      </c>
      <c r="D4" t="inlineStr">
        <is>
          <t>2026-09-12</t>
        </is>
      </c>
      <c r="E4" t="n">
        <v>61900</v>
      </c>
      <c r="F4" t="inlineStr"/>
      <c r="G4" t="inlineStr"/>
      <c r="H4" t="inlineStr">
        <is>
          <t>Full</t>
        </is>
      </c>
      <c r="I4" t="inlineStr"/>
      <c r="J4" t="inlineStr">
        <is>
          <t>Chip windshield lower edge</t>
        </is>
      </c>
      <c r="K4" t="n">
        <v>13</v>
      </c>
      <c r="L4" t="inlineStr">
        <is>
          <t>J. lot</t>
        </is>
      </c>
    </row>
    <row r="7">
      <c r="G7">
        <f>SUM(G2:G6)</f>
        <v/>
      </c>
    </row>
    <row r="9">
      <c r="A9" t="inlineStr">
        <is>
          <t>Notes: G3 computes miles driven as return mileage minus checkout mileage for the post-rental row. G7 totals driven miles. Inspector initials are role labels, not person names. Sample rows are illustrative.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Claim ID</t>
        </is>
      </c>
      <c r="B1" s="1" t="inlineStr">
        <is>
          <t>Unit ID</t>
        </is>
      </c>
      <c r="C1" s="1" t="inlineStr">
        <is>
          <t>Date Discovered</t>
        </is>
      </c>
      <c r="D1" s="1" t="inlineStr">
        <is>
          <t>Damage Summary</t>
        </is>
      </c>
      <c r="E1" s="1" t="inlineStr">
        <is>
          <t>Estimate</t>
        </is>
      </c>
      <c r="F1" s="1" t="inlineStr">
        <is>
          <t>Claim Type</t>
        </is>
      </c>
      <c r="G1" s="1" t="inlineStr">
        <is>
          <t>Date Filed</t>
        </is>
      </c>
      <c r="H1" s="1" t="inlineStr">
        <is>
          <t>Status</t>
        </is>
      </c>
      <c r="I1" s="1" t="inlineStr">
        <is>
          <t>Amount Recovered</t>
        </is>
      </c>
      <c r="J1" s="1" t="inlineStr">
        <is>
          <t>Days Open</t>
        </is>
      </c>
      <c r="K1" s="1" t="inlineStr">
        <is>
          <t>Net Unrecovered</t>
        </is>
      </c>
    </row>
    <row r="2">
      <c r="A2" t="inlineStr">
        <is>
          <t>CL-2026-014</t>
        </is>
      </c>
      <c r="B2" t="inlineStr">
        <is>
          <t>U-01</t>
        </is>
      </c>
      <c r="C2" t="inlineStr">
        <is>
          <t>2026-09-12</t>
        </is>
      </c>
      <c r="D2" t="inlineStr">
        <is>
          <t>Scuff rear bumper cover</t>
        </is>
      </c>
      <c r="E2" t="n">
        <v>480</v>
      </c>
      <c r="F2" t="inlineStr">
        <is>
          <t>Renter billed</t>
        </is>
      </c>
      <c r="G2" t="inlineStr">
        <is>
          <t>2026-09-13</t>
        </is>
      </c>
      <c r="H2" t="inlineStr">
        <is>
          <t>Awaiting Response</t>
        </is>
      </c>
      <c r="I2" t="n">
        <v>0</v>
      </c>
      <c r="J2">
        <f>IF(G2="",TODAY()-C2,G2-C2)</f>
        <v/>
      </c>
      <c r="K2">
        <f>E2-I2</f>
        <v/>
      </c>
    </row>
    <row r="3">
      <c r="A3" t="inlineStr">
        <is>
          <t>CL-2026-013</t>
        </is>
      </c>
      <c r="B3" t="inlineStr">
        <is>
          <t>U-03</t>
        </is>
      </c>
      <c r="C3" t="inlineStr">
        <is>
          <t>2026-08-28</t>
        </is>
      </c>
      <c r="D3" t="inlineStr">
        <is>
          <t>Cracked fog lamp lens</t>
        </is>
      </c>
      <c r="E3" t="n">
        <v>210</v>
      </c>
      <c r="F3" t="inlineStr">
        <is>
          <t>Renter billed</t>
        </is>
      </c>
      <c r="G3" t="inlineStr">
        <is>
          <t>2026-08-29</t>
        </is>
      </c>
      <c r="H3" t="inlineStr">
        <is>
          <t>Resolved Paid</t>
        </is>
      </c>
      <c r="I3" t="n">
        <v>210</v>
      </c>
      <c r="J3" t="n">
        <v>9</v>
      </c>
      <c r="K3" t="n">
        <v>0</v>
      </c>
    </row>
    <row r="4">
      <c r="A4" t="inlineStr">
        <is>
          <t>CL-2026-012</t>
        </is>
      </c>
      <c r="B4" t="inlineStr">
        <is>
          <t>U-02</t>
        </is>
      </c>
      <c r="C4" t="inlineStr">
        <is>
          <t>2026-08-02</t>
        </is>
      </c>
      <c r="D4" t="inlineStr">
        <is>
          <t>Dented sliding door</t>
        </is>
      </c>
      <c r="E4" t="n">
        <v>1240</v>
      </c>
      <c r="F4" t="inlineStr">
        <is>
          <t>Insurance</t>
        </is>
      </c>
      <c r="G4" t="inlineStr">
        <is>
          <t>2026-08-04</t>
        </is>
      </c>
      <c r="H4" t="inlineStr">
        <is>
          <t>Awaiting Response</t>
        </is>
      </c>
      <c r="I4" t="n">
        <v>0</v>
      </c>
      <c r="J4" t="n">
        <v>43</v>
      </c>
      <c r="K4" t="n">
        <v>1240</v>
      </c>
    </row>
    <row r="7">
      <c r="E7">
        <f>SUM(E2:E6)</f>
        <v/>
      </c>
      <c r="I7">
        <f>SUM(I2:I6)</f>
        <v/>
      </c>
    </row>
    <row r="9">
      <c r="A9" t="inlineStr">
        <is>
          <t>Notes: J2 counts days from discovery to filing, or to today if not yet filed. K2 shows estimate minus recovered. E7 and I7 total estimates and recoveries. Move Status through Open, Estimate Obtained, Filed or Billed, Awaiting Response, Disputed, Resolved Paid, Resolved Partial, Closed Unrecovered. Sample rows are illustrative.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2026-09-28T17:06:46Z</dcterms:created>
  <dcterms:modified xmlns:dcterms="http://purl.org/dc/terms/" xmlns:xsi="http://www.w3.org/2001/XMLSchema-instance" xsi:type="dcterms:W3CDTF">2026-09-28T17:06:46Z</dcterms:modified>
</cp:coreProperties>
</file>