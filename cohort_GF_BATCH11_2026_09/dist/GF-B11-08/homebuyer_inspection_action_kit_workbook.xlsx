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ciency_Log" sheetId="1" state="visible" r:id="rId1"/>
    <sheet xmlns:r="http://schemas.openxmlformats.org/officeDocument/2006/relationships" name="Credit_vs_Repair" sheetId="2" state="visible" r:id="rId2"/>
    <sheet xmlns:r="http://schemas.openxmlformats.org/officeDocument/2006/relationships" name="Contingency_Calendar" sheetId="3" state="visible" r:id="rId3"/>
    <sheet xmlns:r="http://schemas.openxmlformats.org/officeDocument/2006/relationships" name="Coordination_Tracker" sheetId="4" state="visible" r:id="rId4"/>
    <sheet xmlns:r="http://schemas.openxmlformats.org/officeDocument/2006/relationships" name="Decision_Work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Row_ID</t>
        </is>
      </c>
      <c r="B1" s="1" t="inlineStr">
        <is>
          <t>Report_Page</t>
        </is>
      </c>
      <c r="C1" s="1" t="inlineStr">
        <is>
          <t>System</t>
        </is>
      </c>
      <c r="D1" s="1" t="inlineStr">
        <is>
          <t>Inspector_Wording</t>
        </is>
      </c>
      <c r="E1" s="1" t="inlineStr">
        <is>
          <t>Buyer_Class</t>
        </is>
      </c>
      <c r="F1" s="1" t="inlineStr">
        <is>
          <t>Buyer_Priority</t>
        </is>
      </c>
      <c r="G1" s="1" t="inlineStr">
        <is>
          <t>Quote_Low</t>
        </is>
      </c>
      <c r="H1" s="1" t="inlineStr">
        <is>
          <t>Quote_High</t>
        </is>
      </c>
      <c r="I1" s="1" t="inlineStr">
        <is>
          <t>Price_Source</t>
        </is>
      </c>
      <c r="J1" s="1" t="inlineStr">
        <is>
          <t>Source_Date</t>
        </is>
      </c>
      <c r="K1" s="1" t="inlineStr">
        <is>
          <t>Exclusions_Notes</t>
        </is>
      </c>
      <c r="L1" s="1" t="inlineStr">
        <is>
          <t>Status</t>
        </is>
      </c>
      <c r="M1">
        <f>IF(OR(G1="",H1=""),"",(G1+H1)/2)</f>
        <v/>
      </c>
      <c r="N1">
        <f>IF(C1="","",C1&amp;" | "&amp;F1)</f>
        <v/>
      </c>
    </row>
    <row r="2">
      <c r="A2" t="inlineStr">
        <is>
          <t>R-01</t>
        </is>
      </c>
      <c r="B2" t="inlineStr">
        <is>
          <t>pp. 12-14</t>
        </is>
      </c>
      <c r="C2" t="inlineStr">
        <is>
          <t>Roof</t>
        </is>
      </c>
      <c r="D2" t="inlineStr">
        <is>
          <t>Aged shingles with granular loss; roofer evaluation recommended</t>
        </is>
      </c>
      <c r="E2" t="inlineStr">
        <is>
          <t>Water intrusion risk</t>
        </is>
      </c>
      <c r="F2" t="inlineStr">
        <is>
          <t>High</t>
        </is>
      </c>
      <c r="G2" t="n">
        <v>4800</v>
      </c>
      <c r="H2" t="n">
        <v>7200</v>
      </c>
      <c r="I2" t="inlineStr">
        <is>
          <t>Contractor written scope</t>
        </is>
      </c>
      <c r="J2" t="inlineStr">
        <is>
          <t>2026-10-02</t>
        </is>
      </c>
      <c r="K2" t="inlineStr">
        <is>
          <t>Includes underlayment; excludes gutter</t>
        </is>
      </c>
      <c r="L2" t="inlineStr">
        <is>
          <t>Priced</t>
        </is>
      </c>
    </row>
    <row r="4">
      <c r="A4" t="inlineStr">
        <is>
          <t>Notes: M1 midpoint is a planning aid only, not a quote. N1 is a grouping helper. All figures illustrative.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Row_or_System</t>
        </is>
      </c>
      <c r="B1" s="1" t="inlineStr">
        <is>
          <t>Repair_Low</t>
        </is>
      </c>
      <c r="C1" s="1" t="inlineStr">
        <is>
          <t>Repair_High</t>
        </is>
      </c>
      <c r="D1" s="1" t="inlineStr">
        <is>
          <t>Credit_Figure</t>
        </is>
      </c>
      <c r="E1" s="1" t="inlineStr">
        <is>
          <t>Quality_Control_Note</t>
        </is>
      </c>
      <c r="F1" s="1" t="inlineStr">
        <is>
          <t>Timeline_Days</t>
        </is>
      </c>
      <c r="G1" s="1" t="inlineStr">
        <is>
          <t>Permit_Receipt_Note</t>
        </is>
      </c>
      <c r="H1" s="1" t="inlineStr">
        <is>
          <t>Lender_Allowability</t>
        </is>
      </c>
      <c r="I1" s="1" t="inlineStr">
        <is>
          <t>Provisional_Flag</t>
        </is>
      </c>
      <c r="J1" s="1" t="inlineStr">
        <is>
          <t>Leaning</t>
        </is>
      </c>
      <c r="K1">
        <f>IF(OR(B1="",C1=""),"",(B1+C1)/2)</f>
        <v/>
      </c>
      <c r="L1">
        <f>IF(D1="","No credit entered",IF(K1="","",D1-K1))</f>
        <v/>
      </c>
    </row>
    <row r="2">
      <c r="A2" t="inlineStr">
        <is>
          <t>Electrical R-02</t>
        </is>
      </c>
      <c r="B2" t="n">
        <v>350</v>
      </c>
      <c r="C2" t="n">
        <v>650</v>
      </c>
      <c r="D2" t="inlineStr">
        <is>
          <t>Provisional pending second scope</t>
        </is>
      </c>
      <c r="E2" t="inlineStr">
        <is>
          <t>Seller repair gives permit receipt; credit gives contractor choice</t>
        </is>
      </c>
      <c r="F2" t="n">
        <v>5</v>
      </c>
      <c r="G2" t="inlineStr">
        <is>
          <t>Permit plus receipt for seller path</t>
        </is>
      </c>
      <c r="H2" t="inlineStr">
        <is>
          <t>Confirm with lender</t>
        </is>
      </c>
      <c r="I2" t="inlineStr">
        <is>
          <t>Yes - awaiting scope 2</t>
        </is>
      </c>
      <c r="J2" t="inlineStr">
        <is>
          <t>Undecided</t>
        </is>
      </c>
    </row>
    <row r="4">
      <c r="A4" t="inlineStr">
        <is>
          <t>Notes: K1 repair midpoint; L1 difference between credit figure and repair midpoint for discussion only. Credit figures developed with buyer representatives, not computed by this kit.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Milestone</t>
        </is>
      </c>
      <c r="B1" s="1" t="inlineStr">
        <is>
          <t>Contract_Date</t>
        </is>
      </c>
      <c r="C1" s="1" t="inlineStr">
        <is>
          <t>Time_Rule</t>
        </is>
      </c>
      <c r="D1" s="1" t="inlineStr">
        <is>
          <t>Delivery_Method</t>
        </is>
      </c>
      <c r="E1" s="1" t="inlineStr">
        <is>
          <t>Recipient</t>
        </is>
      </c>
      <c r="F1" s="1" t="inlineStr">
        <is>
          <t>Contract_Citation</t>
        </is>
      </c>
      <c r="G1" s="1" t="inlineStr">
        <is>
          <t>Buffer_Date</t>
        </is>
      </c>
      <c r="H1" s="1" t="inlineStr">
        <is>
          <t>Days_Remaining</t>
        </is>
      </c>
      <c r="I1" s="1" t="inlineStr">
        <is>
          <t>Status</t>
        </is>
      </c>
    </row>
    <row r="2">
      <c r="A2" t="inlineStr">
        <is>
          <t>Inspection notice</t>
        </is>
      </c>
      <c r="B2" t="inlineStr">
        <is>
          <t>2026-10-10</t>
        </is>
      </c>
      <c r="C2" t="inlineStr">
        <is>
          <t>By 5 PM</t>
        </is>
      </c>
      <c r="D2" t="inlineStr">
        <is>
          <t>Named portal</t>
        </is>
      </c>
      <c r="E2" t="inlineStr">
        <is>
          <t>Seller side via agent</t>
        </is>
      </c>
      <c r="F2" t="inlineStr">
        <is>
          <t>Sec 7.2</t>
        </is>
      </c>
      <c r="G2">
        <f>IF(B2="","",B2-1)</f>
        <v/>
      </c>
      <c r="H2">
        <f>IF(B2="","",B2-TODAY())</f>
        <v/>
      </c>
      <c r="I2" t="inlineStr">
        <is>
          <t>Open</t>
        </is>
      </c>
    </row>
    <row r="4">
      <c r="A4" t="inlineStr">
        <is>
          <t>Notes: Verify all contract terms locally with your attorney. Formulas compute days remaining and a one-day buffer from your entered dates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Counterpart_Role</t>
        </is>
      </c>
      <c r="D1" s="1" t="inlineStr">
        <is>
          <t>Subject</t>
        </is>
      </c>
      <c r="E1" s="1" t="inlineStr">
        <is>
          <t>Summary</t>
        </is>
      </c>
      <c r="F1" s="1" t="inlineStr">
        <is>
          <t>Attachments</t>
        </is>
      </c>
      <c r="G1" s="1" t="inlineStr">
        <is>
          <t>Response_Due</t>
        </is>
      </c>
      <c r="H1" s="1" t="inlineStr">
        <is>
          <t>Response_Received</t>
        </is>
      </c>
      <c r="I1" s="1" t="inlineStr">
        <is>
          <t>Next_Step</t>
        </is>
      </c>
      <c r="J1">
        <f>COUNTA(A1:A100)</f>
        <v/>
      </c>
    </row>
    <row r="2">
      <c r="A2" t="inlineStr">
        <is>
          <t>2026-10-03</t>
        </is>
      </c>
      <c r="B2" t="inlineStr">
        <is>
          <t>Email</t>
        </is>
      </c>
      <c r="C2" t="inlineStr">
        <is>
          <t>Contractor</t>
        </is>
      </c>
      <c r="D2" t="inlineStr">
        <is>
          <t>Roofer access</t>
        </is>
      </c>
      <c r="E2" t="inlineStr">
        <is>
          <t>Confirmed access window for follow-up visit</t>
        </is>
      </c>
      <c r="F2" t="inlineStr">
        <is>
          <t>None</t>
        </is>
      </c>
      <c r="G2" t="inlineStr">
        <is>
          <t>2026-10-04</t>
        </is>
      </c>
      <c r="H2" t="inlineStr">
        <is>
          <t>Confirmed</t>
        </is>
      </c>
      <c r="I2" t="inlineStr">
        <is>
          <t>File scope on arrival</t>
        </is>
      </c>
    </row>
    <row r="4">
      <c r="A4" t="inlineStr">
        <is>
          <t>Notes: J1 counts logged messages. Log verbal points with a written confirmation follow-up.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Input</t>
        </is>
      </c>
      <c r="B1" s="1" t="inlineStr">
        <is>
          <t>Value_or_Note</t>
        </is>
      </c>
      <c r="C1" s="1" t="inlineStr">
        <is>
          <t>Source</t>
        </is>
      </c>
      <c r="D1" s="1" t="inlineStr">
        <is>
          <t>Date</t>
        </is>
      </c>
      <c r="E1">
        <f>COUNTA(B1:B50)</f>
        <v/>
      </c>
    </row>
    <row r="2">
      <c r="A2" t="inlineStr">
        <is>
          <t>Kit total exposure</t>
        </is>
      </c>
      <c r="B2" t="inlineStr">
        <is>
          <t>Illustrative planning figure from log subtotals</t>
        </is>
      </c>
      <c r="C2" t="inlineStr">
        <is>
          <t>Deficiency_Log</t>
        </is>
      </c>
      <c r="D2" t="inlineStr">
        <is>
          <t>2026-10-04</t>
        </is>
      </c>
    </row>
    <row r="3">
      <c r="A3" t="inlineStr">
        <is>
          <t>Lender credit rule</t>
        </is>
      </c>
      <c r="B3" t="inlineStr">
        <is>
          <t>As stated by lender</t>
        </is>
      </c>
      <c r="C3" t="inlineStr">
        <is>
          <t>Lender message</t>
        </is>
      </c>
      <c r="D3" t="inlineStr">
        <is>
          <t>2026-10-03</t>
        </is>
      </c>
    </row>
    <row r="4">
      <c r="A4" t="inlineStr">
        <is>
          <t>Chosen path</t>
        </is>
      </c>
      <c r="B4" t="inlineStr">
        <is>
          <t>Recorded after review with representatives</t>
        </is>
      </c>
      <c r="C4" t="inlineStr">
        <is>
          <t>Worksheet</t>
        </is>
      </c>
      <c r="D4" t="inlineStr">
        <is>
          <t>2026-10-08</t>
        </is>
      </c>
    </row>
    <row r="6">
      <c r="A6" t="inlineStr">
        <is>
          <t>Notes: E1 counts completed inputs. The worksheet records reasoning in sentences; it recommends nothing by formula. Not legal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2026-09-28T17:06:48Z</dcterms:created>
  <dcterms:modified xmlns:dcterms="http://purl.org/dc/terms/" xmlns:xsi="http://www.w3.org/2001/XMLSchema-instance" xsi:type="dcterms:W3CDTF">2026-09-28T17:06:48Z</dcterms:modified>
</cp:coreProperties>
</file>