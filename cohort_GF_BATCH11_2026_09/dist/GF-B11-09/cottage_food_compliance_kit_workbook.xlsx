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Requirements Tracker" sheetId="1" state="visible" r:id="rId1"/>
    <sheet xmlns:r="http://schemas.openxmlformats.org/officeDocument/2006/relationships" name="Label Compliance Checker" sheetId="2" state="visible" r:id="rId2"/>
    <sheet xmlns:r="http://schemas.openxmlformats.org/officeDocument/2006/relationships" name="Registration Log" sheetId="3" state="visible" r:id="rId3"/>
    <sheet xmlns:r="http://schemas.openxmlformats.org/officeDocument/2006/relationships" name="Sales Cap Track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State</t>
        </is>
      </c>
      <c r="B1" s="1" t="inlineStr">
        <is>
          <t>Product Category</t>
        </is>
      </c>
      <c r="C1" s="1" t="inlineStr">
        <is>
          <t>Annual Sales Cap (USD)</t>
        </is>
      </c>
      <c r="D1" s="1" t="inlineStr">
        <is>
          <t>Registration Or Permit Required</t>
        </is>
      </c>
      <c r="E1" s="1" t="inlineStr">
        <is>
          <t>Permit Or Registration Number</t>
        </is>
      </c>
      <c r="F1" s="1" t="inlineStr">
        <is>
          <t>Expiration Date (YYYY-MM-DD)</t>
        </is>
      </c>
      <c r="G1" s="1" t="inlineStr">
        <is>
          <t>Label Rules Summary</t>
        </is>
      </c>
      <c r="H1" s="1" t="inlineStr">
        <is>
          <t>Last Verified Date (YYYY-MM-DD)</t>
        </is>
      </c>
      <c r="I1" s="1" t="inlineStr">
        <is>
          <t>Verification Source</t>
        </is>
      </c>
      <c r="J1" s="1" t="inlineStr">
        <is>
          <t>Notes</t>
        </is>
      </c>
    </row>
    <row r="2">
      <c r="A2" t="inlineStr">
        <is>
          <t>Texas</t>
        </is>
      </c>
      <c r="B2" t="inlineStr">
        <is>
          <t>Baked goods, canned jams</t>
        </is>
      </c>
      <c r="C2" t="inlineStr">
        <is>
          <t>50000</t>
        </is>
      </c>
      <c r="D2" t="inlineStr">
        <is>
          <t>Yes - food handler card + registration</t>
        </is>
      </c>
      <c r="E2" t="inlineStr">
        <is>
          <t>TX-ILLUSTRATIVE-001</t>
        </is>
      </c>
      <c r="F2" t="inlineStr">
        <is>
          <t>2026-12-31</t>
        </is>
      </c>
      <c r="G2" t="inlineStr">
        <is>
          <t>Name, address, ingredients by weight, allergens, net weight, home-kitchen statement</t>
        </is>
      </c>
      <c r="H2" t="inlineStr">
        <is>
          <t>2026-01-15</t>
        </is>
      </c>
      <c r="I2" t="inlineStr">
        <is>
          <t>State health dept site (illustrative example)</t>
        </is>
      </c>
      <c r="J2">
        <f>IF(F2&lt;TODAY(),"EXPIRED - REVERIFY","CURRENT - STILL VERIFY LOCALLY")</f>
        <v/>
      </c>
      <c r="K2">
        <f>F2-H2</f>
        <v/>
      </c>
    </row>
    <row r="3">
      <c r="A3" t="inlineStr">
        <is>
          <t>Vermont</t>
        </is>
      </c>
      <c r="B3" t="inlineStr">
        <is>
          <t>Baked goods, pickles</t>
        </is>
      </c>
      <c r="C3" t="inlineStr">
        <is>
          <t>30000</t>
        </is>
      </c>
      <c r="D3" t="inlineStr">
        <is>
          <t>Yes - registration</t>
        </is>
      </c>
      <c r="E3" t="inlineStr">
        <is>
          <t>VT-ILLUSTRATIVE-002</t>
        </is>
      </c>
      <c r="F3" t="inlineStr">
        <is>
          <t>2026-11-30</t>
        </is>
      </c>
      <c r="G3" t="inlineStr">
        <is>
          <t>Ingredients, allergens, net weight, producer address, home-kitchen statement</t>
        </is>
      </c>
      <c r="H3" t="inlineStr">
        <is>
          <t>2026-01-15</t>
        </is>
      </c>
      <c r="I3" t="inlineStr">
        <is>
          <t>State agriculture dept site (illustrative example)</t>
        </is>
      </c>
      <c r="J3" t="inlineStr">
        <is>
          <t>Confirm direct-sales channel limits (illustrative example)</t>
        </is>
      </c>
      <c r="K3">
        <f>F3-H3</f>
        <v/>
      </c>
    </row>
    <row r="4">
      <c r="A4" t="inlineStr">
        <is>
          <t>Minnesota</t>
        </is>
      </c>
      <c r="B4" t="inlineStr">
        <is>
          <t>Baked goods, jams</t>
        </is>
      </c>
      <c r="C4" t="inlineStr">
        <is>
          <t>78000</t>
        </is>
      </c>
      <c r="D4" t="inlineStr">
        <is>
          <t>Yes - training + registration</t>
        </is>
      </c>
      <c r="E4" t="inlineStr">
        <is>
          <t>MN-ILLUSTRATIVE-003</t>
        </is>
      </c>
      <c r="F4" t="inlineStr">
        <is>
          <t>2026-10-31</t>
        </is>
      </c>
      <c r="G4" t="inlineStr">
        <is>
          <t>Full ingredient list, allergen declaration, net weight, producer details</t>
        </is>
      </c>
      <c r="H4" t="inlineStr">
        <is>
          <t>2026-01-15</t>
        </is>
      </c>
      <c r="I4" t="inlineStr">
        <is>
          <t>State dept of agriculture site (illustrative example)</t>
        </is>
      </c>
      <c r="J4" t="inlineStr">
        <is>
          <t>Check Tier 1 vs Tier 2 threshold (illustrative example)</t>
        </is>
      </c>
    </row>
    <row r="6">
      <c r="A6" t="inlineStr">
        <is>
          <t>Notes: One row per state where you sell or plan to sell. Verify your state rules locally before producing or selling. Caps and registration rules change often. Dates use YYYY-MM-DD so expiration formulas sort correctly. Column K shows days between expiration and last verification as a simple date difference for planning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Product Name</t>
        </is>
      </c>
      <c r="B1" s="1" t="inlineStr">
        <is>
          <t>Batch Or Lot Code</t>
        </is>
      </c>
      <c r="C1" s="1" t="inlineStr">
        <is>
          <t>Net Weight On Label (Y/N)</t>
        </is>
      </c>
      <c r="D1" s="1" t="inlineStr">
        <is>
          <t>Full Ingredient List On Label (Y/N)</t>
        </is>
      </c>
      <c r="E1" s="1" t="inlineStr">
        <is>
          <t>Nine Major Allergens Reviewed (Y/N)</t>
        </is>
      </c>
      <c r="F1" s="1" t="inlineStr">
        <is>
          <t>Allergen Declaration Text Present (Y/N)</t>
        </is>
      </c>
      <c r="G1" s="1" t="inlineStr">
        <is>
          <t>Producer Name And Address Present (Y/N)</t>
        </is>
      </c>
      <c r="H1" s="1" t="inlineStr">
        <is>
          <t>Home Kitchen Warning Present (Y/N)</t>
        </is>
      </c>
      <c r="I1" s="1" t="inlineStr">
        <is>
          <t>Check Date (YYYY-MM-DD)</t>
        </is>
      </c>
      <c r="J1" s="1" t="inlineStr">
        <is>
          <t>Result</t>
        </is>
      </c>
      <c r="K1" s="1" t="inlineStr">
        <is>
          <t>Fix Needed</t>
        </is>
      </c>
    </row>
    <row r="2">
      <c r="A2" t="inlineStr">
        <is>
          <t>Honey Oat Loaf</t>
        </is>
      </c>
      <c r="B2" t="inlineStr">
        <is>
          <t>LOT-001 (illustrative example)</t>
        </is>
      </c>
      <c r="C2" t="inlineStr">
        <is>
          <t>Y</t>
        </is>
      </c>
      <c r="D2" t="inlineStr">
        <is>
          <t>Y</t>
        </is>
      </c>
      <c r="E2" t="inlineStr">
        <is>
          <t>Y</t>
        </is>
      </c>
      <c r="F2" t="inlineStr">
        <is>
          <t>Y</t>
        </is>
      </c>
      <c r="G2" t="inlineStr">
        <is>
          <t>Y</t>
        </is>
      </c>
      <c r="H2" t="inlineStr">
        <is>
          <t>Y</t>
        </is>
      </c>
      <c r="I2" t="inlineStr">
        <is>
          <t>2026-02-01</t>
        </is>
      </c>
      <c r="J2">
        <f>IF(AND(C2="Y",D2="Y",E2="Y",F2="Y",G2="Y",H2="Y"),"PASS - REVIEWED","HOLD - FIX LABEL")</f>
        <v/>
      </c>
      <c r="K2" t="inlineStr">
        <is>
          <t>None (illustrative example)</t>
        </is>
      </c>
      <c r="L2">
        <f>COUNTIF(J2:J100,"HOLD - FIX LABEL")</f>
        <v/>
      </c>
    </row>
    <row r="3">
      <c r="A3" t="inlineStr">
        <is>
          <t>Strawberry Jam 8oz</t>
        </is>
      </c>
      <c r="B3" t="inlineStr">
        <is>
          <t>LOT-002 (illustrative example)</t>
        </is>
      </c>
      <c r="C3" t="inlineStr">
        <is>
          <t>Y</t>
        </is>
      </c>
      <c r="D3" t="inlineStr">
        <is>
          <t>Y</t>
        </is>
      </c>
      <c r="E3" t="inlineStr">
        <is>
          <t>Y</t>
        </is>
      </c>
      <c r="F3" t="inlineStr">
        <is>
          <t>N</t>
        </is>
      </c>
      <c r="G3" t="inlineStr">
        <is>
          <t>Y</t>
        </is>
      </c>
      <c r="H3" t="inlineStr">
        <is>
          <t>Y</t>
        </is>
      </c>
      <c r="I3" t="inlineStr">
        <is>
          <t>2026-02-01</t>
        </is>
      </c>
      <c r="J3">
        <f>IF(AND(C3="Y",D3="Y",E3="Y",F3="Y",G3="Y",H3="Y"),"PASS - REVIEWED","HOLD - FIX LABEL")</f>
        <v/>
      </c>
      <c r="K3" t="inlineStr">
        <is>
          <t>Add allergen declaration line even if no allergens present; state facility statement (illustrative example)</t>
        </is>
      </c>
    </row>
    <row r="4">
      <c r="A4" t="inlineStr">
        <is>
          <t>Cinnamon Granola</t>
        </is>
      </c>
      <c r="B4" t="inlineStr">
        <is>
          <t>LOT-003 (illustrative example)</t>
        </is>
      </c>
      <c r="C4" t="inlineStr">
        <is>
          <t>Y</t>
        </is>
      </c>
      <c r="D4" t="inlineStr">
        <is>
          <t>Y</t>
        </is>
      </c>
      <c r="E4" t="inlineStr">
        <is>
          <t>Y</t>
        </is>
      </c>
      <c r="F4" t="inlineStr">
        <is>
          <t>Y</t>
        </is>
      </c>
      <c r="G4" t="inlineStr">
        <is>
          <t>N</t>
        </is>
      </c>
      <c r="H4" t="inlineStr">
        <is>
          <t>Y</t>
        </is>
      </c>
      <c r="I4" t="inlineStr">
        <is>
          <t>2026-02-02</t>
        </is>
      </c>
      <c r="J4" t="inlineStr">
        <is>
          <t>HOLD - FIX LABEL</t>
        </is>
      </c>
      <c r="K4" t="inlineStr">
        <is>
          <t>Add producer street address per state rule (illustrative example)</t>
        </is>
      </c>
    </row>
    <row r="6">
      <c r="A6" t="inlineStr">
        <is>
          <t>Notes: Use one row per product and label version. Y means present and legible on the actual printed label. N means missing or unclear. Result column uses a formula so the sheet flags HOLD automatically. L2 counts total HOLD rows needing fixes. This sheet supports careful review; it does not confer legal approval. Verify your state rules locally. This material is not legal advice.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Filing Type</t>
        </is>
      </c>
      <c r="B1" s="1" t="inlineStr">
        <is>
          <t>State</t>
        </is>
      </c>
      <c r="C1" s="1" t="inlineStr">
        <is>
          <t>Submitted Date (YYYY-MM-DD)</t>
        </is>
      </c>
      <c r="D1" s="1" t="inlineStr">
        <is>
          <t>Confirmation Number</t>
        </is>
      </c>
      <c r="E1" s="1" t="inlineStr">
        <is>
          <t>Fee Paid (USD)</t>
        </is>
      </c>
      <c r="F1" s="1" t="inlineStr">
        <is>
          <t>Status</t>
        </is>
      </c>
      <c r="G1" s="1" t="inlineStr">
        <is>
          <t>Renewal Due (YYYY-MM-DD)</t>
        </is>
      </c>
      <c r="H1" s="1" t="inlineStr">
        <is>
          <t>Days To Renewal</t>
        </is>
      </c>
      <c r="I1" s="1" t="inlineStr">
        <is>
          <t>Contact Or Office</t>
        </is>
      </c>
      <c r="J1" s="1" t="inlineStr">
        <is>
          <t>Notes</t>
        </is>
      </c>
    </row>
    <row r="2">
      <c r="A2" t="inlineStr">
        <is>
          <t>Food handler training</t>
        </is>
      </c>
      <c r="B2" t="inlineStr">
        <is>
          <t>Texas (illustrative example)</t>
        </is>
      </c>
      <c r="C2" t="inlineStr">
        <is>
          <t>2026-01-10</t>
        </is>
      </c>
      <c r="D2" t="inlineStr">
        <is>
          <t>CONF-1001 (illustrative example)</t>
        </is>
      </c>
      <c r="E2" t="inlineStr">
        <is>
          <t>15</t>
        </is>
      </c>
      <c r="F2" t="inlineStr">
        <is>
          <t>Active</t>
        </is>
      </c>
      <c r="G2" t="inlineStr">
        <is>
          <t>2027-01-10</t>
        </is>
      </c>
      <c r="H2">
        <f>G2-TODAY()</f>
        <v/>
      </c>
      <c r="I2" t="inlineStr">
        <is>
          <t>Training provider file copy</t>
        </is>
      </c>
      <c r="J2" t="inlineStr">
        <is>
          <t>Keep certificate with registration log (illustrative example)</t>
        </is>
      </c>
      <c r="K2">
        <f>SUM(E2:E100)</f>
        <v/>
      </c>
    </row>
    <row r="3">
      <c r="A3" t="inlineStr">
        <is>
          <t>Cottage registration</t>
        </is>
      </c>
      <c r="B3" t="inlineStr">
        <is>
          <t>Iowa (illustrative example)</t>
        </is>
      </c>
      <c r="C3" t="inlineStr">
        <is>
          <t>2026-01-20</t>
        </is>
      </c>
      <c r="D3" t="inlineStr">
        <is>
          <t>CONF-1002 (illustrative example)</t>
        </is>
      </c>
      <c r="E3" t="inlineStr">
        <is>
          <t>0</t>
        </is>
      </c>
      <c r="F3" t="inlineStr">
        <is>
          <t>Pending</t>
        </is>
      </c>
      <c r="G3" t="inlineStr">
        <is>
          <t>2026-07-20</t>
        </is>
      </c>
      <c r="H3">
        <f>G3-TODAY()</f>
        <v/>
      </c>
      <c r="I3" t="inlineStr">
        <is>
          <t>Dept of Inspections office</t>
        </is>
      </c>
      <c r="J3" t="inlineStr">
        <is>
          <t>Follow up on pending letter (illustrative example)</t>
        </is>
      </c>
    </row>
    <row r="5">
      <c r="A5" t="inlineStr">
        <is>
          <t>Notes: Log every filing, training certificate, and renewal. Days To Renewal uses Renewal Due minus today. Negative means overdue. K2 sums fees paid for simple budgeting. Keep paper or PDF copies filed by confirmation number.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Month</t>
        </is>
      </c>
      <c r="B1" s="1" t="inlineStr">
        <is>
          <t>State</t>
        </is>
      </c>
      <c r="C1" s="1" t="inlineStr">
        <is>
          <t>Monthly Sales (USD)</t>
        </is>
      </c>
      <c r="D1" s="1" t="inlineStr">
        <is>
          <t>Returns Or Refunds (USD)</t>
        </is>
      </c>
      <c r="E1" s="1" t="inlineStr">
        <is>
          <t>Net Monthly Sales (USD)</t>
        </is>
      </c>
      <c r="F1" s="1" t="inlineStr">
        <is>
          <t>Running Year Total (USD)</t>
        </is>
      </c>
      <c r="G1" s="1" t="inlineStr">
        <is>
          <t>Annual Cap (USD)</t>
        </is>
      </c>
      <c r="H1" s="1" t="inlineStr">
        <is>
          <t>Remaining Under Cap (USD)</t>
        </is>
      </c>
      <c r="I1" s="1" t="inlineStr">
        <is>
          <t>Percent Of Cap Used</t>
        </is>
      </c>
    </row>
    <row r="2">
      <c r="A2" t="inlineStr">
        <is>
          <t>2026-01</t>
        </is>
      </c>
      <c r="B2" t="inlineStr">
        <is>
          <t>Texas (illustrative example)</t>
        </is>
      </c>
      <c r="C2" t="inlineStr">
        <is>
          <t>1200</t>
        </is>
      </c>
      <c r="D2" t="inlineStr">
        <is>
          <t>40</t>
        </is>
      </c>
      <c r="E2">
        <f>C2-D2</f>
        <v/>
      </c>
      <c r="F2">
        <f>SUM(E$2:E2)</f>
        <v/>
      </c>
      <c r="G2" t="inlineStr">
        <is>
          <t>50000</t>
        </is>
      </c>
      <c r="H2">
        <f>G2-F2</f>
        <v/>
      </c>
      <c r="I2">
        <f>IF(G2=0,"NO CAP ENTERED",F2/G2)</f>
        <v/>
      </c>
    </row>
    <row r="3">
      <c r="A3" t="inlineStr">
        <is>
          <t>2026-02</t>
        </is>
      </c>
      <c r="B3" t="inlineStr">
        <is>
          <t>Texas (illustrative example)</t>
        </is>
      </c>
      <c r="C3" t="inlineStr">
        <is>
          <t>1500</t>
        </is>
      </c>
      <c r="D3" t="inlineStr">
        <is>
          <t>0</t>
        </is>
      </c>
      <c r="E3" t="inlineStr">
        <is>
          <t>1500</t>
        </is>
      </c>
      <c r="F3">
        <f>SUM(E$2:E3)</f>
        <v/>
      </c>
      <c r="G3" t="inlineStr">
        <is>
          <t>50000</t>
        </is>
      </c>
      <c r="H3" t="inlineStr">
        <is>
          <t>47340</t>
        </is>
      </c>
      <c r="I3">
        <f>IF(G3=0,"NO CAP ENTERED",F3/G3)</f>
        <v/>
      </c>
    </row>
    <row r="4">
      <c r="A4" t="inlineStr">
        <is>
          <t>2026-03</t>
        </is>
      </c>
      <c r="B4" t="inlineStr">
        <is>
          <t>Texas (illustrative example)</t>
        </is>
      </c>
      <c r="C4" t="inlineStr">
        <is>
          <t>1800</t>
        </is>
      </c>
      <c r="D4" t="inlineStr">
        <is>
          <t>60</t>
        </is>
      </c>
      <c r="E4" t="inlineStr">
        <is>
          <t>1740</t>
        </is>
      </c>
      <c r="F4" t="inlineStr">
        <is>
          <t>4400</t>
        </is>
      </c>
      <c r="G4" t="inlineStr">
        <is>
          <t>50000</t>
        </is>
      </c>
      <c r="H4" t="inlineStr">
        <is>
          <t>45600</t>
        </is>
      </c>
      <c r="I4" t="inlineStr">
        <is>
          <t>8.8% (illustrative example)</t>
        </is>
      </c>
    </row>
    <row r="6">
      <c r="A6" t="inlineStr">
        <is>
          <t>Notes: Enter one row per month per state. Net Monthly Sales subtracts refunds. Running Year Total is a cumulative sum. Remaining Under Cap subtracts the running total from the annual cap. Percent Of Cap Used divides running total by cap for planning only. Figures here are illustrative examples. Verify your state rules locally for how your state defines gross vs net sales and which channels count toward the 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2026-09-28T17:06:48Z</dcterms:created>
  <dcterms:modified xmlns:dcterms="http://purl.org/dc/terms/" xmlns:xsi="http://www.w3.org/2001/XMLSchema-instance" xsi:type="dcterms:W3CDTF">2026-09-28T17:06:48Z</dcterms:modified>
</cp:coreProperties>
</file>