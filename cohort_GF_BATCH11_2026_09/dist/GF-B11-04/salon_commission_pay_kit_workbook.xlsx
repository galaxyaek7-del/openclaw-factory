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 Log" sheetId="1" state="visible" r:id="rId1"/>
    <sheet xmlns:r="http://schemas.openxmlformats.org/officeDocument/2006/relationships" name="Tier Calculator" sheetId="2" state="visible" r:id="rId2"/>
    <sheet xmlns:r="http://schemas.openxmlformats.org/officeDocument/2006/relationships" name="Payout Statement" sheetId="3" state="visible" r:id="rId3"/>
    <sheet xmlns:r="http://schemas.openxmlformats.org/officeDocument/2006/relationships" name="Dispute Lo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Date</t>
        </is>
      </c>
      <c r="B1" s="1" t="inlineStr">
        <is>
          <t>Stylist</t>
        </is>
      </c>
      <c r="C1" s="1" t="inlineStr">
        <is>
          <t>Service Sales</t>
        </is>
      </c>
      <c r="D1" s="1" t="inlineStr">
        <is>
          <t>Retail Sales</t>
        </is>
      </c>
      <c r="E1" s="1" t="inlineStr">
        <is>
          <t>Service Rate Pct</t>
        </is>
      </c>
      <c r="F1" s="1" t="inlineStr">
        <is>
          <t>Retail Rate Pct</t>
        </is>
      </c>
      <c r="G1" s="1" t="inlineStr">
        <is>
          <t>Service Commission</t>
        </is>
      </c>
      <c r="H1" s="1" t="inlineStr">
        <is>
          <t>Retail Commission</t>
        </is>
      </c>
    </row>
    <row r="2">
      <c r="A2" t="inlineStr">
        <is>
          <t>2026-02-03</t>
        </is>
      </c>
      <c r="B2" t="inlineStr">
        <is>
          <t>Illustrative Stylist A</t>
        </is>
      </c>
      <c r="C2" t="n">
        <v>320</v>
      </c>
      <c r="D2" t="n">
        <v>85</v>
      </c>
      <c r="E2" t="n">
        <v>50</v>
      </c>
      <c r="F2" t="n">
        <v>15</v>
      </c>
      <c r="G2">
        <f>C2*E2/100</f>
        <v/>
      </c>
      <c r="H2">
        <f>D2*F2/100</f>
        <v/>
      </c>
    </row>
    <row r="3">
      <c r="A3" t="inlineStr">
        <is>
          <t>2026-02-03</t>
        </is>
      </c>
      <c r="B3" t="inlineStr">
        <is>
          <t>Illustrative Stylist B</t>
        </is>
      </c>
      <c r="C3" t="n">
        <v>210</v>
      </c>
      <c r="D3" t="n">
        <v>40</v>
      </c>
      <c r="E3" t="n">
        <v>45</v>
      </c>
      <c r="F3" t="n">
        <v>10</v>
      </c>
      <c r="G3" t="n">
        <v>94.5</v>
      </c>
      <c r="H3" t="n">
        <v>4</v>
      </c>
    </row>
    <row r="5">
      <c r="A5" t="inlineStr">
        <is>
          <t>Notes: One row per stylist per day. Service Commission equals Service Sales times Service Rate Pct divided by 100. Retail Commission equals Retail Sales times Retail Rate Pct divided by 100. Names are illustrative labels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1" t="inlineStr">
        <is>
          <t>Stylist</t>
        </is>
      </c>
      <c r="B1" s="1" t="inlineStr">
        <is>
          <t>Period Service Total</t>
        </is>
      </c>
      <c r="C1" s="1" t="inlineStr">
        <is>
          <t>Tier Threshold</t>
        </is>
      </c>
      <c r="D1" s="1" t="inlineStr">
        <is>
          <t>Base Rate Pct</t>
        </is>
      </c>
      <c r="E1" s="1" t="inlineStr">
        <is>
          <t>Tier Rate Pct</t>
        </is>
      </c>
      <c r="F1" s="1" t="inlineStr">
        <is>
          <t>Tier Bonus</t>
        </is>
      </c>
      <c r="G1" s="1" t="inlineStr">
        <is>
          <t>Payout</t>
        </is>
      </c>
    </row>
    <row r="2">
      <c r="A2" t="inlineStr">
        <is>
          <t>Illustrative Stylist A</t>
        </is>
      </c>
      <c r="B2" t="n">
        <v>3200</v>
      </c>
      <c r="C2" t="n">
        <v>3000</v>
      </c>
      <c r="D2" t="n">
        <v>50</v>
      </c>
      <c r="E2" t="n">
        <v>55</v>
      </c>
      <c r="F2">
        <f>IF(B2&gt;=C2,100,0)</f>
        <v/>
      </c>
      <c r="G2">
        <f>IF(B2&gt;=C2,B2*E2/100+F2,B2*D2/100)</f>
        <v/>
      </c>
    </row>
    <row r="3">
      <c r="A3" t="inlineStr">
        <is>
          <t>Illustrative Stylist B</t>
        </is>
      </c>
      <c r="B3" t="n">
        <v>2400</v>
      </c>
      <c r="C3" t="n">
        <v>3000</v>
      </c>
      <c r="D3" t="n">
        <v>45</v>
      </c>
      <c r="E3" t="n">
        <v>55</v>
      </c>
      <c r="F3" t="n">
        <v>0</v>
      </c>
      <c r="G3" t="n">
        <v>1080</v>
      </c>
    </row>
    <row r="5">
      <c r="A5" t="inlineStr">
        <is>
          <t>Notes: Tier Bonus is paid only when the period service total meets or exceeds the threshold. Payout uses the tier rate plus bonus when qualified, else the base rate. Illustrative numbers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1" t="inlineStr">
        <is>
          <t>Stylist</t>
        </is>
      </c>
      <c r="B1" s="1" t="inlineStr">
        <is>
          <t>Service Comm</t>
        </is>
      </c>
      <c r="C1" s="1" t="inlineStr">
        <is>
          <t>Retail Comm</t>
        </is>
      </c>
      <c r="D1" s="1" t="inlineStr">
        <is>
          <t>Tier Bonus</t>
        </is>
      </c>
      <c r="E1" s="1" t="inlineStr">
        <is>
          <t>Adjustments</t>
        </is>
      </c>
      <c r="F1" s="1" t="inlineStr">
        <is>
          <t>Gross Pay</t>
        </is>
      </c>
      <c r="G1" s="1" t="inlineStr">
        <is>
          <t>Voids Deducted</t>
        </is>
      </c>
    </row>
    <row r="2">
      <c r="A2" t="inlineStr">
        <is>
          <t>Illustrative Stylist A</t>
        </is>
      </c>
      <c r="B2" t="n">
        <v>1600</v>
      </c>
      <c r="C2" t="n">
        <v>120</v>
      </c>
      <c r="D2" t="n">
        <v>100</v>
      </c>
      <c r="E2" t="n">
        <v>-25</v>
      </c>
      <c r="F2">
        <f>B2+C2+D2+E2</f>
        <v/>
      </c>
      <c r="G2" t="n">
        <v>45</v>
      </c>
    </row>
    <row r="3">
      <c r="A3" t="inlineStr">
        <is>
          <t>Illustrative Stylist B</t>
        </is>
      </c>
      <c r="B3" t="n">
        <v>940</v>
      </c>
      <c r="C3" t="n">
        <v>40</v>
      </c>
      <c r="D3" t="n">
        <v>0</v>
      </c>
      <c r="E3" t="n">
        <v>0</v>
      </c>
      <c r="F3" t="n">
        <v>980</v>
      </c>
      <c r="G3" t="n">
        <v>0</v>
      </c>
    </row>
    <row r="5">
      <c r="A5" t="inlineStr">
        <is>
          <t>Notes: Gross Pay equals Service plus Retail plus Tier Bonus plus Adjustments. Adjustments are negative for chargebacks or voids and positive for corrections. Voids Deducted is informational.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Date</t>
        </is>
      </c>
      <c r="B1" s="1" t="inlineStr">
        <is>
          <t>Raised By</t>
        </is>
      </c>
      <c r="C1" s="1" t="inlineStr">
        <is>
          <t>Pay Period</t>
        </is>
      </c>
      <c r="D1" s="1" t="inlineStr">
        <is>
          <t>Issue</t>
        </is>
      </c>
      <c r="E1" s="1" t="inlineStr">
        <is>
          <t>Resolution</t>
        </is>
      </c>
      <c r="F1" s="1" t="inlineStr">
        <is>
          <t>Status</t>
        </is>
      </c>
    </row>
    <row r="2">
      <c r="A2" t="inlineStr">
        <is>
          <t>2026-02-10</t>
        </is>
      </c>
      <c r="B2" t="inlineStr">
        <is>
          <t>Illustrative Stylist A</t>
        </is>
      </c>
      <c r="C2" t="inlineStr">
        <is>
          <t>Feb 1-7</t>
        </is>
      </c>
      <c r="D2" t="inlineStr">
        <is>
          <t>Retail rate applied at 10 not 15</t>
        </is>
      </c>
      <c r="E2" t="inlineStr">
        <is>
          <t>Corrected plus 12.75 on next payout</t>
        </is>
      </c>
      <c r="F2" t="inlineStr">
        <is>
          <t>Closed</t>
        </is>
      </c>
    </row>
    <row r="3">
      <c r="A3" t="inlineStr">
        <is>
          <t>2026-02-12</t>
        </is>
      </c>
      <c r="B3" t="inlineStr">
        <is>
          <t>Illustrative Stylist B</t>
        </is>
      </c>
      <c r="C3" t="inlineStr">
        <is>
          <t>Feb 1-7</t>
        </is>
      </c>
      <c r="D3" t="inlineStr">
        <is>
          <t>Voided service still in total</t>
        </is>
      </c>
      <c r="E3" t="inlineStr">
        <is>
          <t>Removed 45 from service total</t>
        </is>
      </c>
      <c r="F3" t="inlineStr">
        <is>
          <t>Closed</t>
        </is>
      </c>
    </row>
    <row r="5">
      <c r="A5" t="inlineStr">
        <is>
          <t>Notes: Log every question within 48 hours of payday. No formulas. Names are illustrative labels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2026-09-28T17:06:46Z</dcterms:created>
  <dcterms:modified xmlns:dcterms="http://purl.org/dc/terms/" xmlns:xsi="http://www.w3.org/2001/XMLSchema-instance" xsi:type="dcterms:W3CDTF">2026-09-28T17:06:46Z</dcterms:modified>
</cp:coreProperties>
</file>