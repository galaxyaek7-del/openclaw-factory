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_Log" sheetId="1" state="visible" r:id="rId1"/>
    <sheet xmlns:r="http://schemas.openxmlformats.org/officeDocument/2006/relationships" name="Benefits_Checklist" sheetId="2" state="visible" r:id="rId2"/>
    <sheet xmlns:r="http://schemas.openxmlformats.org/officeDocument/2006/relationships" name="Denial_Tracker" sheetId="3" state="visible" r:id="rId3"/>
    <sheet xmlns:r="http://schemas.openxmlformats.org/officeDocument/2006/relationships" name="KPI_Dashboard" sheetId="4" state="visible" r:id="rId4"/>
    <sheet xmlns:r="http://schemas.openxmlformats.org/officeDocument/2006/relationships" name="Estimate_Workshee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s>
  <sheetData>
    <row r="1">
      <c r="A1" s="1" t="inlineStr">
        <is>
          <t>Verification_ID</t>
        </is>
      </c>
      <c r="B1" s="1" t="inlineStr">
        <is>
          <t>Patient_Ref</t>
        </is>
      </c>
      <c r="C1" s="1" t="inlineStr">
        <is>
          <t>Visit_Date</t>
        </is>
      </c>
      <c r="D1" s="1" t="inlineStr">
        <is>
          <t>Payer</t>
        </is>
      </c>
      <c r="E1" s="1" t="inlineStr">
        <is>
          <t>Group_No</t>
        </is>
      </c>
      <c r="F1" s="1" t="inlineStr">
        <is>
          <t>Subscriber_Relationship</t>
        </is>
      </c>
      <c r="G1" s="1" t="inlineStr">
        <is>
          <t>Planned_Service_Group</t>
        </is>
      </c>
      <c r="H1" s="1" t="inlineStr">
        <is>
          <t>Eligibility_Status</t>
        </is>
      </c>
      <c r="I1" s="1" t="inlineStr">
        <is>
          <t>Effective_Date</t>
        </is>
      </c>
      <c r="J1" s="1" t="inlineStr">
        <is>
          <t>Class_Benefit_Pct</t>
        </is>
      </c>
      <c r="K1" s="1" t="inlineStr">
        <is>
          <t>Yearly_Max</t>
        </is>
      </c>
      <c r="L1" s="1" t="inlineStr">
        <is>
          <t>Used_To_Date</t>
        </is>
      </c>
      <c r="M1" s="1" t="inlineStr">
        <is>
          <t>Remaining_Max</t>
        </is>
      </c>
      <c r="N1" s="1">
        <f>MAX(0,M1-M2)</f>
        <v/>
      </c>
      <c r="O1" s="1" t="inlineStr">
        <is>
          <t>Frequency_Check</t>
        </is>
      </c>
      <c r="P1" s="1" t="inlineStr">
        <is>
          <t>Missing_Tooth_Flag</t>
        </is>
      </c>
      <c r="Q1" s="1" t="inlineStr">
        <is>
          <t>Downgrade_Flag</t>
        </is>
      </c>
      <c r="R1" s="1" t="inlineStr">
        <is>
          <t>COB_Order</t>
        </is>
      </c>
      <c r="S1" s="1" t="inlineStr">
        <is>
          <t>Preauth_Status</t>
        </is>
      </c>
      <c r="T1" s="1" t="inlineStr">
        <is>
          <t>Payer_Reference</t>
        </is>
      </c>
      <c r="U1" s="1" t="inlineStr">
        <is>
          <t>Verified_By</t>
        </is>
      </c>
      <c r="V1" s="1" t="inlineStr">
        <is>
          <t>Verified_On</t>
        </is>
      </c>
      <c r="W1" s="1" t="inlineStr">
        <is>
          <t>Row_Status</t>
        </is>
      </c>
      <c r="AA1">
        <f>IF(OR(X1="Hold",Y1=""),"Incomplete","Ready check")</f>
        <v/>
      </c>
    </row>
    <row r="2">
      <c r="A2" t="inlineStr">
        <is>
          <t>V-001</t>
        </is>
      </c>
      <c r="B2" t="inlineStr">
        <is>
          <t>PT-REF-01</t>
        </is>
      </c>
      <c r="C2" t="inlineStr">
        <is>
          <t>2026-10-06</t>
        </is>
      </c>
      <c r="D2" t="inlineStr">
        <is>
          <t>Payer A</t>
        </is>
      </c>
      <c r="E2" t="inlineStr">
        <is>
          <t>GRP-1001</t>
        </is>
      </c>
      <c r="F2" t="inlineStr">
        <is>
          <t>Self</t>
        </is>
      </c>
      <c r="G2" t="inlineStr">
        <is>
          <t>Major - crown</t>
        </is>
      </c>
      <c r="H2" t="inlineStr">
        <is>
          <t>Active</t>
        </is>
      </c>
      <c r="I2" t="inlineStr">
        <is>
          <t>2026-01-01</t>
        </is>
      </c>
      <c r="J2" t="n">
        <v>50</v>
      </c>
      <c r="K2" t="n">
        <v>1500</v>
      </c>
      <c r="L2" t="n">
        <v>420</v>
      </c>
      <c r="M2" t="n">
        <v>1080</v>
      </c>
      <c r="N2" t="inlineStr">
        <is>
          <t>None stated</t>
        </is>
      </c>
      <c r="O2" t="inlineStr">
        <is>
          <t>1 per 60 months - recorded</t>
        </is>
      </c>
      <c r="P2" t="inlineStr">
        <is>
          <t>None stated</t>
        </is>
      </c>
      <c r="Q2" t="inlineStr">
        <is>
          <t>Molar downgrade stated</t>
        </is>
      </c>
      <c r="R2" t="inlineStr">
        <is>
          <t>N/A single coverage</t>
        </is>
      </c>
      <c r="S2" t="inlineStr">
        <is>
          <t>Pre-determination recommended</t>
        </is>
      </c>
      <c r="T2" t="inlineStr">
        <is>
          <t>REF-88421</t>
        </is>
      </c>
      <c r="U2" t="inlineStr">
        <is>
          <t>Front Desk Lead</t>
        </is>
      </c>
      <c r="V2" t="inlineStr">
        <is>
          <t>2026-10-03</t>
        </is>
      </c>
      <c r="W2" t="inlineStr">
        <is>
          <t>Ready</t>
        </is>
      </c>
    </row>
    <row r="4">
      <c r="A4" t="inlineStr">
        <is>
          <t>Notes: One row per visit. Remaining_Max is payer-stated remaining as of Verified_On; formula N1 recomputes where M is Yearly_Max and M2 is Used_To_Date for internal cross-check only. Row_Status drives the huddle hold list. All figures illustrative.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Verification_ID</t>
        </is>
      </c>
      <c r="B1" s="1" t="inlineStr">
        <is>
          <t>Waiting_Period_Basic</t>
        </is>
      </c>
      <c r="C1" s="1" t="inlineStr">
        <is>
          <t>Waiting_Period_Major</t>
        </is>
      </c>
      <c r="D1" s="1" t="inlineStr">
        <is>
          <t>Frequency_Exam</t>
        </is>
      </c>
      <c r="E1" s="1" t="inlineStr">
        <is>
          <t>Frequency_Cleaning</t>
        </is>
      </c>
      <c r="F1" s="1" t="inlineStr">
        <is>
          <t>Frequency_Xray</t>
        </is>
      </c>
      <c r="G1" s="1" t="inlineStr">
        <is>
          <t>Missing_Tooth_Clause</t>
        </is>
      </c>
      <c r="H1" s="1" t="inlineStr">
        <is>
          <t>Downgrade_Posterior</t>
        </is>
      </c>
      <c r="I1" s="1" t="inlineStr">
        <is>
          <t>Downgrade_Crown</t>
        </is>
      </c>
      <c r="J1" s="1" t="inlineStr">
        <is>
          <t>COB_Rule</t>
        </is>
      </c>
      <c r="K1" s="1" t="inlineStr">
        <is>
          <t>Preauth_Required</t>
        </is>
      </c>
      <c r="L1" s="1">
        <f>COUNTA(B1:K1)</f>
        <v/>
      </c>
    </row>
    <row r="2">
      <c r="A2" t="inlineStr">
        <is>
          <t>V-001</t>
        </is>
      </c>
      <c r="B2" t="inlineStr">
        <is>
          <t>None stated</t>
        </is>
      </c>
      <c r="C2" t="inlineStr">
        <is>
          <t>None stated</t>
        </is>
      </c>
      <c r="D2" t="inlineStr">
        <is>
          <t>2 per calendar year</t>
        </is>
      </c>
      <c r="E2" t="inlineStr">
        <is>
          <t>2 per calendar year shared</t>
        </is>
      </c>
      <c r="F2" t="inlineStr">
        <is>
          <t>Bitewing 1 per year stated</t>
        </is>
      </c>
      <c r="G2" t="inlineStr">
        <is>
          <t>Exclusion stated - see notes</t>
        </is>
      </c>
      <c r="H2" t="inlineStr">
        <is>
          <t>Downgrade to amalgam benefit stated</t>
        </is>
      </c>
      <c r="I2" t="inlineStr">
        <is>
          <t>Downgrade to metal-ceramic benefit stated</t>
        </is>
      </c>
      <c r="J2" t="inlineStr">
        <is>
          <t>N/A</t>
        </is>
      </c>
      <c r="K2" t="inlineStr">
        <is>
          <t>Recommended</t>
        </is>
      </c>
      <c r="L2" t="inlineStr">
        <is>
          <t>Payer wording preserved in Notes</t>
        </is>
      </c>
    </row>
    <row r="4">
      <c r="A4" t="inlineStr">
        <is>
          <t>Notes: Each cell records payer-stated language or Unable to confirm with date. L1 counts answered items for completeness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Claim_Ref</t>
        </is>
      </c>
      <c r="B1" s="1" t="inlineStr">
        <is>
          <t>Verification_ID</t>
        </is>
      </c>
      <c r="C1" s="1" t="inlineStr">
        <is>
          <t>Date_Submitted</t>
        </is>
      </c>
      <c r="D1" s="1" t="inlineStr">
        <is>
          <t>Date_Denied</t>
        </is>
      </c>
      <c r="E1" s="1" t="inlineStr">
        <is>
          <t>Denial_Code</t>
        </is>
      </c>
      <c r="F1" s="1" t="inlineStr">
        <is>
          <t>Denial_Text</t>
        </is>
      </c>
      <c r="G1" s="1" t="inlineStr">
        <is>
          <t>Mapped_Verification_Point</t>
        </is>
      </c>
      <c r="H1" s="1" t="inlineStr">
        <is>
          <t>Corrective_Action</t>
        </is>
      </c>
      <c r="I1" s="1" t="inlineStr">
        <is>
          <t>Owner</t>
        </is>
      </c>
      <c r="J1" s="1" t="inlineStr">
        <is>
          <t>Status</t>
        </is>
      </c>
      <c r="K1">
        <f>COUNTIF(H1:H100,"Point 4 frequency")</f>
        <v/>
      </c>
    </row>
    <row r="2">
      <c r="A2" t="inlineStr">
        <is>
          <t>C-101</t>
        </is>
      </c>
      <c r="B2" t="inlineStr">
        <is>
          <t>V-001</t>
        </is>
      </c>
      <c r="C2" t="inlineStr">
        <is>
          <t>2026-10-08</t>
        </is>
      </c>
      <c r="D2" t="inlineStr">
        <is>
          <t>2026-10-15</t>
        </is>
      </c>
      <c r="E2" t="inlineStr">
        <is>
          <t>FREQ</t>
        </is>
      </c>
      <c r="F2" t="inlineStr">
        <is>
          <t>Frequency exceeded per payer</t>
        </is>
      </c>
      <c r="G2" t="inlineStr">
        <is>
          <t>Point 4 frequency</t>
        </is>
      </c>
      <c r="H2" t="inlineStr">
        <is>
          <t>Retrain frequency read-back</t>
        </is>
      </c>
      <c r="I2" t="inlineStr">
        <is>
          <t>Office Manager</t>
        </is>
      </c>
      <c r="J2" t="inlineStr">
        <is>
          <t>Reviewing</t>
        </is>
      </c>
    </row>
    <row r="4">
      <c r="A4" t="inlineStr">
        <is>
          <t>Notes: Map every denial to one of the 8 verification points. K1 is an illustrative count cell; expand ranges in live 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Week</t>
        </is>
      </c>
      <c r="B1" s="1" t="inlineStr">
        <is>
          <t>Rows_Due</t>
        </is>
      </c>
      <c r="C1" s="1" t="inlineStr">
        <is>
          <t>Rows_Complete</t>
        </is>
      </c>
      <c r="D1" s="1" t="inlineStr">
        <is>
          <t>Rows_On_Time</t>
        </is>
      </c>
      <c r="E1" s="1" t="inlineStr">
        <is>
          <t>Denials</t>
        </is>
      </c>
      <c r="F1" s="1" t="inlineStr">
        <is>
          <t>Rework_Hours</t>
        </is>
      </c>
      <c r="G1" s="1" t="inlineStr">
        <is>
          <t>Billing_Questions</t>
        </is>
      </c>
      <c r="H1" s="1" t="inlineStr">
        <is>
          <t>Completeness_Pct</t>
        </is>
      </c>
      <c r="I1" s="1" t="inlineStr">
        <is>
          <t>On_Time_Pct</t>
        </is>
      </c>
    </row>
    <row r="2">
      <c r="A2" t="inlineStr">
        <is>
          <t>2026-W40</t>
        </is>
      </c>
      <c r="B2" t="n">
        <v>40</v>
      </c>
      <c r="C2" t="n">
        <v>38</v>
      </c>
      <c r="D2" t="n">
        <v>36</v>
      </c>
      <c r="E2" t="n">
        <v>3</v>
      </c>
      <c r="F2" t="n">
        <v>6</v>
      </c>
      <c r="G2" t="n">
        <v>4</v>
      </c>
      <c r="H2">
        <f>IF(B2=0,"",C2/B2)</f>
        <v/>
      </c>
      <c r="I2">
        <f>IF(B2=0,"",D2/B2)</f>
        <v/>
      </c>
      <c r="J2">
        <f>IF(B2=0,"",E2/B2)</f>
        <v/>
      </c>
    </row>
    <row r="4">
      <c r="A4" t="inlineStr">
        <is>
          <t>Notes: Weekly aggregates. Formulas compute completeness, on-time share, and denial share from counted rows. Figures illustrative.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Verification_ID</t>
        </is>
      </c>
      <c r="B1" s="1" t="inlineStr">
        <is>
          <t>Office_Fee</t>
        </is>
      </c>
      <c r="C1" s="1" t="inlineStr">
        <is>
          <t>Allowed_Amount</t>
        </is>
      </c>
      <c r="D1" s="1" t="inlineStr">
        <is>
          <t>Benefit_Pct</t>
        </is>
      </c>
      <c r="E1" s="1" t="inlineStr">
        <is>
          <t>Payer_Share_Est</t>
        </is>
      </c>
      <c r="F1" s="1" t="inlineStr">
        <is>
          <t>Patient_Share_Est</t>
        </is>
      </c>
      <c r="G1" s="1" t="inlineStr">
        <is>
          <t>Downgrade_Adjustment</t>
        </is>
      </c>
      <c r="H1" s="1" t="inlineStr">
        <is>
          <t>COB_Adjustment</t>
        </is>
      </c>
      <c r="I1" s="1" t="inlineStr">
        <is>
          <t>Final_Patient_Est</t>
        </is>
      </c>
      <c r="J1" s="1" t="inlineStr">
        <is>
          <t>Caveat_Included</t>
        </is>
      </c>
    </row>
    <row r="2">
      <c r="A2" t="inlineStr">
        <is>
          <t>V-001</t>
        </is>
      </c>
      <c r="B2" t="n">
        <v>1200</v>
      </c>
      <c r="C2" t="n">
        <v>1000</v>
      </c>
      <c r="D2" t="n">
        <v>50</v>
      </c>
      <c r="E2">
        <f>C2*D2/100</f>
        <v/>
      </c>
      <c r="F2">
        <f>B2-E2+G2+H2</f>
        <v/>
      </c>
      <c r="G2" t="inlineStr"/>
      <c r="H2" t="inlineStr"/>
      <c r="I2">
        <f>F2</f>
        <v/>
      </c>
      <c r="J2" t="inlineStr">
        <is>
          <t>Yes</t>
        </is>
      </c>
    </row>
    <row r="4">
      <c r="A4" t="inlineStr">
        <is>
          <t>Notes: E2 estimates payer share from allowed amount and benefit pct. F2 derives patient share from office fee less payer share plus adjustments. I2 carries the final estimate. Caveat must be Yes before release. Estimates are not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2026-09-28T17:06:47Z</dcterms:created>
  <dcterms:modified xmlns:dcterms="http://purl.org/dc/terms/" xmlns:xsi="http://www.w3.org/2001/XMLSchema-instance" xsi:type="dcterms:W3CDTF">2026-09-28T17:06:47Z</dcterms:modified>
</cp:coreProperties>
</file>